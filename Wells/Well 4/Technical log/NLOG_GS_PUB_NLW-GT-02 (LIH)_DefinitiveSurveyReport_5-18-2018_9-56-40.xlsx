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filterPrivacy="1" codeName="ThisWorkbook" defaultThemeVersion="124226"/>
  <bookViews>
    <workbookView xWindow="0" yWindow="0" windowWidth="28800" windowHeight="14160" activeTab="1"/>
  </bookViews>
  <sheets>
    <sheet name="Sign-Off" sheetId="1" r:id="rId1"/>
    <sheet name="Survey" sheetId="2" r:id="rId2"/>
  </sheets>
  <definedNames>
    <definedName name="AzimuthReference">'Sign-Off'!$J$11:$K$11</definedName>
    <definedName name="BHAZ" localSheetId="0">'Sign-Off'!$C$30:$C$30</definedName>
    <definedName name="BHEasting" localSheetId="0">'Sign-Off'!$I$30:$I$30</definedName>
    <definedName name="BHEW" localSheetId="0">'Sign-Off'!$G$30:$G$30</definedName>
    <definedName name="BHINC" localSheetId="0">'Sign-Off'!$B$30:$B$30</definedName>
    <definedName name="BHLat" localSheetId="0">'Sign-Off'!$J$30:$J$30</definedName>
    <definedName name="BHLong" localSheetId="0">'Sign-Off'!$K$30:$K$30</definedName>
    <definedName name="BHMD" localSheetId="0">'Sign-Off'!$A$30:$A$30</definedName>
    <definedName name="BHNorthing" localSheetId="0">'Sign-Off'!$H$30:$H$30</definedName>
    <definedName name="BHNS" localSheetId="0">'Sign-Off'!$F$30:$F$30</definedName>
    <definedName name="BHTVD" localSheetId="0">'Sign-Off'!$D$30:$D$30</definedName>
    <definedName name="BHVS" localSheetId="0">'Sign-Off'!$E$30:$E$30</definedName>
    <definedName name="BoreholeName">'Sign-Off'!$J$6:$K$6</definedName>
    <definedName name="ClientName">'Sign-Off'!$B$5:$B$5</definedName>
    <definedName name="CSName">'Sign-Off'!$C$14:$C$14</definedName>
    <definedName name="DataRowCenterAlignDark" localSheetId="1">Survey!$L$25</definedName>
    <definedName name="DataRowCenterAlignDark">#REF!</definedName>
    <definedName name="DataRowCenterAlignDarkItalics" localSheetId="1">Survey!$L$27</definedName>
    <definedName name="DataRowCenterAlignDarkItalics">#REF!</definedName>
    <definedName name="DataRowCenterAlignLight" localSheetId="1">Survey!$L$24</definedName>
    <definedName name="DataRowCenterAlignLight">#REF!</definedName>
    <definedName name="DataRowCenterAlignLightItalics" localSheetId="1">Survey!$L$26</definedName>
    <definedName name="DataRowCenterAlignLightItalics">#REF!</definedName>
    <definedName name="DataRowCrossCenterLight" localSheetId="1">Survey!$E$53</definedName>
    <definedName name="DataRowCrossCenterLight">#REF!</definedName>
    <definedName name="DataRowLeftAlignDark" localSheetId="1">Survey!$A$25</definedName>
    <definedName name="DataRowLeftAlignDark">#REF!</definedName>
    <definedName name="DataRowLeftAlignDarkItalics" localSheetId="1">Survey!$A$27</definedName>
    <definedName name="DataRowLeftAlignDarkItalics">#REF!</definedName>
    <definedName name="DataRowLeftAlignLight" localSheetId="1">Survey!$A$24</definedName>
    <definedName name="DataRowLeftAlignLight">#REF!</definedName>
    <definedName name="DataRowLeftAlignLightItalics" localSheetId="1">Survey!$A$26</definedName>
    <definedName name="DataRowLeftAlignLightItalics">#REF!</definedName>
    <definedName name="DataRowRightAlignDark" localSheetId="1">Survey!$B$25</definedName>
    <definedName name="DataRowRightAlignDark">#REF!</definedName>
    <definedName name="DataRowRightAlignDark0" localSheetId="1">Survey!$B$27</definedName>
    <definedName name="DataRowRightAlignDark0">#REF!</definedName>
    <definedName name="DataRowRightAlignDark1" localSheetId="1">Survey!$B$29</definedName>
    <definedName name="DataRowRightAlignDark1">#REF!</definedName>
    <definedName name="DataRowRightAlignDark10" localSheetId="1">Survey!$B$47</definedName>
    <definedName name="DataRowRightAlignDark10">#REF!</definedName>
    <definedName name="DataRowRightAlignDark2" localSheetId="1">Survey!$B$31</definedName>
    <definedName name="DataRowRightAlignDark2">#REF!</definedName>
    <definedName name="DataRowRightAlignDark3" localSheetId="1">Survey!$B$33</definedName>
    <definedName name="DataRowRightAlignDark3">#REF!</definedName>
    <definedName name="DataRowRightAlignDark4" localSheetId="1">Survey!$B$35</definedName>
    <definedName name="DataRowRightAlignDark4">#REF!</definedName>
    <definedName name="DataRowRightAlignDark5" localSheetId="1">Survey!$B$37</definedName>
    <definedName name="DataRowRightAlignDark5">#REF!</definedName>
    <definedName name="DataRowRightAlignDark6" localSheetId="1">Survey!$B$39</definedName>
    <definedName name="DataRowRightAlignDark6">#REF!</definedName>
    <definedName name="DataRowRightAlignDark7" localSheetId="1">Survey!$B$41</definedName>
    <definedName name="DataRowRightAlignDark7">#REF!</definedName>
    <definedName name="DataRowRightAlignDark8" localSheetId="1">Survey!$B$43</definedName>
    <definedName name="DataRowRightAlignDark8">#REF!</definedName>
    <definedName name="DataRowRightAlignDark9" localSheetId="1">Survey!$B$45</definedName>
    <definedName name="DataRowRightAlignDark9">#REF!</definedName>
    <definedName name="DataRowRightAlignDarkItalics" localSheetId="1">Survey!$M$25</definedName>
    <definedName name="DataRowRightAlignDarkItalics">#REF!</definedName>
    <definedName name="DataRowRightAlignDarkItalics0" localSheetId="1">Survey!$M$27</definedName>
    <definedName name="DataRowRightAlignDarkItalics0">#REF!</definedName>
    <definedName name="DataRowRightAlignDarkItalics1" localSheetId="1">Survey!$M$29</definedName>
    <definedName name="DataRowRightAlignDarkItalics1">#REF!</definedName>
    <definedName name="DataRowRightAlignDarkItalics10" localSheetId="1">Survey!$M$47</definedName>
    <definedName name="DataRowRightAlignDarkItalics10">#REF!</definedName>
    <definedName name="DataRowRightAlignDarkItalics2" localSheetId="1">Survey!$M$31</definedName>
    <definedName name="DataRowRightAlignDarkItalics2">#REF!</definedName>
    <definedName name="DataRowRightAlignDarkItalics3" localSheetId="1">Survey!$M$33</definedName>
    <definedName name="DataRowRightAlignDarkItalics3">#REF!</definedName>
    <definedName name="DataRowRightAlignDarkItalics4" localSheetId="1">Survey!$M$35</definedName>
    <definedName name="DataRowRightAlignDarkItalics4">#REF!</definedName>
    <definedName name="DataRowRightAlignDarkItalics5" localSheetId="1">Survey!$M$37</definedName>
    <definedName name="DataRowRightAlignDarkItalics5">#REF!</definedName>
    <definedName name="DataRowRightAlignDarkItalics6" localSheetId="1">Survey!$M$39</definedName>
    <definedName name="DataRowRightAlignDarkItalics6">#REF!</definedName>
    <definedName name="DataRowRightAlignDarkItalics7" localSheetId="1">Survey!$M$41</definedName>
    <definedName name="DataRowRightAlignDarkItalics7">#REF!</definedName>
    <definedName name="DataRowRightAlignDarkItalics8" localSheetId="1">Survey!$M$43</definedName>
    <definedName name="DataRowRightAlignDarkItalics8">#REF!</definedName>
    <definedName name="DataRowRightAlignDarkItalics9" localSheetId="1">Survey!$M$45</definedName>
    <definedName name="DataRowRightAlignDarkItalics9">#REF!</definedName>
    <definedName name="DataRowRightAlignLight" localSheetId="1">Survey!$B$24</definedName>
    <definedName name="DataRowRightAlignLight">#REF!</definedName>
    <definedName name="DataRowRightAlignLight0" localSheetId="1">Survey!$B$26</definedName>
    <definedName name="DataRowRightAlignLight0">#REF!</definedName>
    <definedName name="DataRowRightAlignLight1" localSheetId="1">Survey!$B$28</definedName>
    <definedName name="DataRowRightAlignLight1">#REF!</definedName>
    <definedName name="DataRowRightAlignLight10" localSheetId="1">Survey!$B$46</definedName>
    <definedName name="DataRowRightAlignLight10">#REF!</definedName>
    <definedName name="DataRowRightAlignLight2" localSheetId="1">Survey!$B$30</definedName>
    <definedName name="DataRowRightAlignLight2">#REF!</definedName>
    <definedName name="DataRowRightAlignLight3" localSheetId="1">Survey!$B$32</definedName>
    <definedName name="DataRowRightAlignLight3">#REF!</definedName>
    <definedName name="DataRowRightAlignLight4" localSheetId="1">Survey!$B$34</definedName>
    <definedName name="DataRowRightAlignLight4">#REF!</definedName>
    <definedName name="DataRowRightAlignLight5" localSheetId="1">Survey!$B$36</definedName>
    <definedName name="DataRowRightAlignLight5">#REF!</definedName>
    <definedName name="DataRowRightAlignLight6" localSheetId="1">Survey!$B$38</definedName>
    <definedName name="DataRowRightAlignLight6">#REF!</definedName>
    <definedName name="DataRowRightAlignLight7" localSheetId="1">Survey!$B$40</definedName>
    <definedName name="DataRowRightAlignLight7">#REF!</definedName>
    <definedName name="DataRowRightAlignLight8" localSheetId="1">Survey!$B$42</definedName>
    <definedName name="DataRowRightAlignLight8">#REF!</definedName>
    <definedName name="DataRowRightAlignLight9" localSheetId="1">Survey!$B$44</definedName>
    <definedName name="DataRowRightAlignLight9">#REF!</definedName>
    <definedName name="DataRowRightAlignLightItalics" localSheetId="1">Survey!$M$24</definedName>
    <definedName name="DataRowRightAlignLightItalics">#REF!</definedName>
    <definedName name="DataRowRightAlignLightItalics0" localSheetId="1">Survey!$M$26</definedName>
    <definedName name="DataRowRightAlignLightItalics0">#REF!</definedName>
    <definedName name="DataRowRightAlignLightItalics1" localSheetId="1">Survey!$M$28</definedName>
    <definedName name="DataRowRightAlignLightItalics1">#REF!</definedName>
    <definedName name="DataRowRightAlignLightItalics10" localSheetId="1">Survey!$M$46</definedName>
    <definedName name="DataRowRightAlignLightItalics10">#REF!</definedName>
    <definedName name="DataRowRightAlignLightItalics2" localSheetId="1">Survey!$M$30</definedName>
    <definedName name="DataRowRightAlignLightItalics2">#REF!</definedName>
    <definedName name="DataRowRightAlignLightItalics3" localSheetId="1">Survey!$M$32</definedName>
    <definedName name="DataRowRightAlignLightItalics3">#REF!</definedName>
    <definedName name="DataRowRightAlignLightItalics4" localSheetId="1">Survey!$M$34</definedName>
    <definedName name="DataRowRightAlignLightItalics4">#REF!</definedName>
    <definedName name="DataRowRightAlignLightItalics5" localSheetId="1">Survey!$M$36</definedName>
    <definedName name="DataRowRightAlignLightItalics5">#REF!</definedName>
    <definedName name="DataRowRightAlignLightItalics6" localSheetId="1">Survey!$M$38</definedName>
    <definedName name="DataRowRightAlignLightItalics6">#REF!</definedName>
    <definedName name="DataRowRightAlignLightItalics7" localSheetId="1">Survey!$M$40</definedName>
    <definedName name="DataRowRightAlignLightItalics7">#REF!</definedName>
    <definedName name="DataRowRightAlignLightItalics8" localSheetId="1">Survey!$M$42</definedName>
    <definedName name="DataRowRightAlignLightItalics8">#REF!</definedName>
    <definedName name="DataRowRightAlignLightItalics9" localSheetId="1">Survey!$M$44</definedName>
    <definedName name="DataRowRightAlignLightItalics9">#REF!</definedName>
    <definedName name="Declination">'Sign-Off'!$J$13:$K$13</definedName>
    <definedName name="DeclinationDate">'Sign-Off'!$K$12:$K$12</definedName>
    <definedName name="DepthUnit">'Sign-Off'!$J$9:$J$9</definedName>
    <definedName name="DF_SPSectionData" localSheetId="0">'Sign-Off'!$A$20:$J$23</definedName>
    <definedName name="Elevation">'Sign-Off'!$C$16:$F$16</definedName>
    <definedName name="EmptyRow" localSheetId="1">Survey!$A$26</definedName>
    <definedName name="EmptyRow">#REF!</definedName>
    <definedName name="FieldName">'Sign-Off'!$B$6:$B$6</definedName>
    <definedName name="FloatingStart" localSheetId="1">Survey!$E$23</definedName>
    <definedName name="FloatingStart">#REF!</definedName>
    <definedName name="GeomagInfoFirstRow">Survey!$A$55</definedName>
    <definedName name="GridConvergence">'Sign-Off'!$J$14:$K$14</definedName>
    <definedName name="GroundLevel">'Sign-Off'!$C$17:$C$17</definedName>
    <definedName name="IsDrillingTargetsReqMet" localSheetId="0">'Sign-Off'!$J$38:$J$38</definedName>
    <definedName name="IsDrillingTargetsReqMetFormula">'Sign-Off'!$L$7:$L$10</definedName>
    <definedName name="JobNo">'Sign-Off'!$G$5:$G$5</definedName>
    <definedName name="LeftLogo">'Sign-Off'!$A$2:$D$2</definedName>
    <definedName name="Legal" localSheetId="1">Survey!$A$56</definedName>
    <definedName name="Legal">#REF!</definedName>
    <definedName name="MagneticModel">'Sign-Off'!$J$12:$J$12</definedName>
    <definedName name="_xlnm.Print_Area" localSheetId="0">'Sign-Off'!$A$1:$K$52</definedName>
    <definedName name="_xlnm.Print_Titles" localSheetId="1">Survey!$23:$23</definedName>
    <definedName name="ProjectionType" localSheetId="0">'Sign-Off'!$I$24:$I$24</definedName>
    <definedName name="RefAZ" localSheetId="0">'Sign-Off'!$C$27:$C$27</definedName>
    <definedName name="RefEasting" localSheetId="0">'Sign-Off'!$I$27:$I$27</definedName>
    <definedName name="ReferenceEasting">'Sign-Off'!#REF!</definedName>
    <definedName name="ReferenceNorthing">'Sign-Off'!#REF!</definedName>
    <definedName name="RefEW" localSheetId="0">'Sign-Off'!$G$27:$G$27</definedName>
    <definedName name="RefINC" localSheetId="0">'Sign-Off'!$B$27:$B$27</definedName>
    <definedName name="RefLat" localSheetId="0">'Sign-Off'!$J$27:$J$27</definedName>
    <definedName name="RefLong" localSheetId="0">'Sign-Off'!$K$27:$K$27</definedName>
    <definedName name="RefMD" localSheetId="0">'Sign-Off'!$A$27:$A$27</definedName>
    <definedName name="RefNorthing" localSheetId="0">'Sign-Off'!$H$27:$H$27</definedName>
    <definedName name="RefNS" localSheetId="0">'Sign-Off'!$F$27:$F$27</definedName>
    <definedName name="RefTVD" localSheetId="0">'Sign-Off'!$D$27:$D$27</definedName>
    <definedName name="RefVS" localSheetId="0">'Sign-Off'!$E$27:$E$27</definedName>
    <definedName name="ReportDate">'Sign-Off'!$J$5:$J$5</definedName>
    <definedName name="RightLogo">'Sign-Off'!$H$2:$K$2</definedName>
    <definedName name="Rpt_API_Number" localSheetId="1">Survey!$C$11</definedName>
    <definedName name="Rpt_API_Number">#REF!</definedName>
    <definedName name="Rpt_BoreholeName" localSheetId="1">Survey!$C$10</definedName>
    <definedName name="Rpt_BoreholeName">#REF!</definedName>
    <definedName name="Rpt_Client" localSheetId="1">Survey!$C$6</definedName>
    <definedName name="Rpt_Client">#REF!</definedName>
    <definedName name="Rpt_CoordinateReference" localSheetId="1">Survey!$I$21</definedName>
    <definedName name="Rpt_CoordinateReference">#REF!</definedName>
    <definedName name="Rpt_CoordinateSystem" localSheetId="1">Survey!$C$15</definedName>
    <definedName name="Rpt_CoordinateSystem">#REF!</definedName>
    <definedName name="Rpt_Date" localSheetId="1">Survey!$C$5</definedName>
    <definedName name="Rpt_Date">#REF!</definedName>
    <definedName name="Rpt_DipAngle" localSheetId="1">Survey!$I$15</definedName>
    <definedName name="Rpt_DipAngle">#REF!</definedName>
    <definedName name="Rpt_DrillSiteOrWellPad" localSheetId="1">Survey!$C$8</definedName>
    <definedName name="Rpt_DrillSiteOrWellPad">#REF!</definedName>
    <definedName name="Rpt_Elevation" localSheetId="1">Survey!$I$9</definedName>
    <definedName name="Rpt_Elevation">#REF!</definedName>
    <definedName name="Rpt_ElevationReference" localSheetId="1">Survey!$I$8</definedName>
    <definedName name="Rpt_ElevationReference">#REF!</definedName>
    <definedName name="Rpt_FieldName" localSheetId="1">Survey!$C$7</definedName>
    <definedName name="Rpt_FieldName">#REF!</definedName>
    <definedName name="Rpt_FieldStrength" localSheetId="1">Survey!$I$14</definedName>
    <definedName name="Rpt_FieldStrength">#REF!</definedName>
    <definedName name="Rpt_GeodeticLocation" localSheetId="1">Survey!$C$16</definedName>
    <definedName name="Rpt_GeodeticLocation">#REF!</definedName>
    <definedName name="Rpt_Gravity" localSheetId="1">Survey!$I$12</definedName>
    <definedName name="Rpt_Gravity">#REF!</definedName>
    <definedName name="Rpt_GravityModel">Survey!$I$13</definedName>
    <definedName name="Rpt_GridConvergence" localSheetId="1">Survey!$C$18</definedName>
    <definedName name="Rpt_GridConvergence">#REF!</definedName>
    <definedName name="Rpt_GridCorrection" localSheetId="1">Survey!$I$19</definedName>
    <definedName name="Rpt_GridCorrection">#REF!</definedName>
    <definedName name="Rpt_GridLocation" localSheetId="1">Survey!$C$17</definedName>
    <definedName name="Rpt_GridLocation">#REF!</definedName>
    <definedName name="Rpt_GroundLevelElevation" localSheetId="1">Survey!$I$10</definedName>
    <definedName name="Rpt_GroundLevelElevation">#REF!</definedName>
    <definedName name="Rpt_MagneticDeclDate" localSheetId="1">Survey!$I$16</definedName>
    <definedName name="Rpt_MagneticDeclDate">#REF!</definedName>
    <definedName name="Rpt_MagneticDeclination" localSheetId="1">Survey!$I$11</definedName>
    <definedName name="Rpt_MagneticDeclination">#REF!</definedName>
    <definedName name="Rpt_MagneticDeclModel" localSheetId="1">Survey!$I$17</definedName>
    <definedName name="Rpt_MagneticDeclModel">#REF!</definedName>
    <definedName name="Rpt_NorthReference" localSheetId="1">Survey!$I$18</definedName>
    <definedName name="Rpt_NorthReference">#REF!</definedName>
    <definedName name="Rpt_ScaleFactor" localSheetId="1">Survey!$C$19</definedName>
    <definedName name="Rpt_ScaleFactor">#REF!</definedName>
    <definedName name="Rpt_SurveyCompMethod" localSheetId="1">Survey!$I$5</definedName>
    <definedName name="Rpt_SurveyCompMethod">#REF!</definedName>
    <definedName name="Rpt_SurveyDate" localSheetId="1">Survey!$C$13</definedName>
    <definedName name="Rpt_SurveyDate">#REF!</definedName>
    <definedName name="Rpt_SurveyName" localSheetId="1">Survey!$C$12</definedName>
    <definedName name="Rpt_SurveyName">#REF!</definedName>
    <definedName name="Rpt_SurveyStats" localSheetId="1">Survey!$C$14</definedName>
    <definedName name="Rpt_SurveyStats">#REF!</definedName>
    <definedName name="Rpt_Title" localSheetId="1">Survey!$C$2</definedName>
    <definedName name="Rpt_Title">#REF!</definedName>
    <definedName name="Rpt_Title2" localSheetId="1">Survey!$C$3</definedName>
    <definedName name="Rpt_Title2">#REF!</definedName>
    <definedName name="Rpt_TotalCorrection" localSheetId="1">Survey!$I$20</definedName>
    <definedName name="Rpt_TotalCorrection">#REF!</definedName>
    <definedName name="Rpt_TotalCorrectionLabel" localSheetId="1">Survey!$G$20</definedName>
    <definedName name="Rpt_TotalCorrectionLabel">#REF!</definedName>
    <definedName name="Rpt_Version" localSheetId="1">Survey!$C$20</definedName>
    <definedName name="Rpt_Version">#REF!</definedName>
    <definedName name="Rpt_VSEC_Azim" localSheetId="1">Survey!$I$6</definedName>
    <definedName name="Rpt_VSEC_Azim">#REF!</definedName>
    <definedName name="Rpt_VSEC_Origin" localSheetId="1">Survey!$I$7</definedName>
    <definedName name="Rpt_VSEC_Origin">#REF!</definedName>
    <definedName name="Rpt_WellName" localSheetId="1">Survey!$C$9</definedName>
    <definedName name="Rpt_WellName">#REF!</definedName>
    <definedName name="SlotEasting">'Sign-Off'!$E$11:$F$11</definedName>
    <definedName name="SlotLat">'Sign-Off'!$C$12:$C$12</definedName>
    <definedName name="SlotLong">'Sign-Off'!$E$12:$E$12</definedName>
    <definedName name="SlotNorthing">'Sign-Off'!$C$11:$D$11</definedName>
    <definedName name="SlotUnc">'Sign-Off'!$E$13:$E$13</definedName>
    <definedName name="StructureEasting">'Sign-Off'!$E$9:$E$9</definedName>
    <definedName name="StructureLat">'Sign-Off'!$C$10:$C$10</definedName>
    <definedName name="StructureLong">'Sign-Off'!$E$10:$E$10</definedName>
    <definedName name="StructureNorthing">'Sign-Off'!$C$9:$C$9</definedName>
    <definedName name="StructureSlot">'Sign-Off'!$B$7:$B$7</definedName>
    <definedName name="StructureUnc">'Sign-Off'!$C$13:$C$13</definedName>
    <definedName name="SurveyDate">'Sign-Off'!$J$10:$K$10</definedName>
    <definedName name="SurveyName">'Sign-Off'!$G$7:$G$7</definedName>
    <definedName name="SurveyProgramFormatA" localSheetId="1">Survey!$A$49</definedName>
    <definedName name="SurveyProgramFormatA">#REF!</definedName>
    <definedName name="SurveyProgramFormatB" localSheetId="1">Survey!$C$49</definedName>
    <definedName name="SurveyProgramFormatB">#REF!</definedName>
    <definedName name="SurveyProgramHeader" localSheetId="1">Survey!$A$52</definedName>
    <definedName name="SurveyProgramHeader">#REF!</definedName>
    <definedName name="SurveyTypeFormula">'Sign-Off'!$L$4:$L$6</definedName>
    <definedName name="TableHeaderCenter" localSheetId="1">Survey!$L$23</definedName>
    <definedName name="TableHeaderCenter">#REF!</definedName>
    <definedName name="TableHeaderCrossCenter" localSheetId="1">Survey!$E$52</definedName>
    <definedName name="TableHeaderCrossCenter">#REF!</definedName>
    <definedName name="TableHeaderCrossRight" localSheetId="1">Survey!$F$52</definedName>
    <definedName name="TableHeaderCrossRight">#REF!</definedName>
    <definedName name="TableHeaderLeft" localSheetId="1">Survey!$A$23</definedName>
    <definedName name="TableHeaderLeft">#REF!</definedName>
    <definedName name="TableHeaderRight" localSheetId="1">Survey!$B$23</definedName>
    <definedName name="TableHeaderRight">#REF!</definedName>
    <definedName name="TotalCorrection">'Sign-Off'!$J$15:$K$15</definedName>
    <definedName name="VerticalReference">'Sign-Off'!$C$15:$C$15</definedName>
    <definedName name="VSAzimuth">'Sign-Off'!$J$17:$K$17</definedName>
    <definedName name="VSOrigin">'Sign-Off'!$J$16:$K$16</definedName>
    <definedName name="WellName">'Sign-Off'!$G$6:$G$6</definedName>
  </definedNames>
  <calcPr calcId="125725"/>
</workbook>
</file>

<file path=xl/sharedStrings.xml><?xml version="1.0" encoding="utf-8"?>
<sst xmlns="http://schemas.openxmlformats.org/spreadsheetml/2006/main" count="367" uniqueCount="196">
  <si>
    <t>SURVEY MANAGEMENT</t>
  </si>
  <si>
    <t>DEFINITIVE SURVEY SIGN-OFF</t>
  </si>
  <si>
    <t>Client:</t>
  </si>
  <si>
    <t/>
  </si>
  <si>
    <t>Job No.:</t>
  </si>
  <si>
    <t>17hol0035</t>
  </si>
  <si>
    <t>Report Date:</t>
  </si>
  <si>
    <t>Straight</t>
  </si>
  <si>
    <t>Field:</t>
  </si>
  <si>
    <t>Naaldwijk (Trias Westland)</t>
  </si>
  <si>
    <t>Well Name:</t>
  </si>
  <si>
    <t>NLW-GT-02</t>
  </si>
  <si>
    <t>Borehole:</t>
  </si>
  <si>
    <t>Curve</t>
  </si>
  <si>
    <t>Stru/Slot:</t>
  </si>
  <si>
    <t>NLW-GT-02/NLW-GT-02</t>
  </si>
  <si>
    <t>Survey:</t>
  </si>
  <si>
    <t>NLW-GT-02 (LIH)</t>
  </si>
  <si>
    <t>Yes</t>
  </si>
  <si>
    <t>Structure Reference:</t>
  </si>
  <si>
    <t>Depth Units:</t>
  </si>
  <si>
    <t>(m)</t>
  </si>
  <si>
    <t>No</t>
  </si>
  <si>
    <t>N  51° 59' 26.96188"</t>
  </si>
  <si>
    <t>E   4° 14' 22.35732"</t>
  </si>
  <si>
    <t>Survey Date:</t>
  </si>
  <si>
    <t>N/A</t>
  </si>
  <si>
    <t>Slot Coordinates:</t>
  </si>
  <si>
    <t>Azimuth Reference:</t>
  </si>
  <si>
    <t>Grid North</t>
  </si>
  <si>
    <t>Mag. Model / Mag. Decl. Date:</t>
  </si>
  <si>
    <t>HDGM 2017</t>
  </si>
  <si>
    <t>Structure/Slot Uncertainty:</t>
  </si>
  <si>
    <t>0.00 m(3.00 sigma)</t>
  </si>
  <si>
    <t>Magnetic Declination:</t>
  </si>
  <si>
    <t>1.121 °</t>
  </si>
  <si>
    <t>Grid Coordinate System:</t>
  </si>
  <si>
    <t>Amersfoort * OGP-Nld / RD Dutch Onshore</t>
  </si>
  <si>
    <t>Grid Convergence:</t>
  </si>
  <si>
    <t>-0.90562969 °</t>
  </si>
  <si>
    <t>TVD Reference Datum:</t>
  </si>
  <si>
    <t>Borehole: Rotary Table</t>
  </si>
  <si>
    <t>Total Correction:</t>
  </si>
  <si>
    <t>2.0270 °</t>
  </si>
  <si>
    <t>TVD Reference Elevation:</t>
  </si>
  <si>
    <t>8.420 m above NAP</t>
  </si>
  <si>
    <t>Vertical Section Origin:</t>
  </si>
  <si>
    <t>0.000 m, 0.000 m</t>
  </si>
  <si>
    <t>Seabed/GroundLevel:</t>
  </si>
  <si>
    <t>0.900 m below NAP</t>
  </si>
  <si>
    <t>Vertical Section Plane:</t>
  </si>
  <si>
    <t>0.000 ° (Grid North)</t>
  </si>
  <si>
    <t>DEFINITIVE SURVEY CONSTRUCTION - ORIGINAL WELL</t>
  </si>
  <si>
    <t>Instrument Type</t>
  </si>
  <si>
    <t>Survey From</t>
  </si>
  <si>
    <t>Survey To</t>
  </si>
  <si>
    <t>Hole Size</t>
  </si>
  <si>
    <t>Casing Size</t>
  </si>
  <si>
    <t>SLB_INC_ONLY&lt;10-Depth Only</t>
  </si>
  <si>
    <t>SLB_INC_ONLY&lt;10</t>
  </si>
  <si>
    <t xml:space="preserve">Projection to TD:        </t>
  </si>
  <si>
    <t>Type:</t>
  </si>
  <si>
    <t>WELL REFERENCE POINT LOCATION</t>
  </si>
  <si>
    <t>MD</t>
  </si>
  <si>
    <t>INC</t>
  </si>
  <si>
    <t>AZ</t>
  </si>
  <si>
    <t>TVD</t>
  </si>
  <si>
    <t>VS</t>
  </si>
  <si>
    <t>NS</t>
  </si>
  <si>
    <t>EW</t>
  </si>
  <si>
    <t>Northing</t>
  </si>
  <si>
    <t>Easting</t>
  </si>
  <si>
    <t>Latitude</t>
  </si>
  <si>
    <t>Longitude</t>
  </si>
  <si>
    <t>N  51° 59' 26.96192"</t>
  </si>
  <si>
    <t>E   4° 14' 22.35736"</t>
  </si>
  <si>
    <t>BOTTOM HOLE LOCATION</t>
  </si>
  <si>
    <t>N  51° 59' 26.90359"</t>
  </si>
  <si>
    <t>E   4° 14' 22.28669"</t>
  </si>
  <si>
    <t>BOTTOM HOLE LOCATION COMPARISON</t>
  </si>
  <si>
    <t>SOURCE :</t>
  </si>
  <si>
    <t>COMMENTS</t>
  </si>
  <si>
    <t>Well Position Declaration</t>
  </si>
  <si>
    <t>Drilling Targets requirement met ?</t>
  </si>
  <si>
    <t>DEFINITIVE SURVEY SIGNED OFF</t>
  </si>
  <si>
    <t>For Schlumberger:</t>
  </si>
  <si>
    <t>Prepared By: (Sign)</t>
  </si>
  <si>
    <t>Checked By: (Sign)</t>
  </si>
  <si>
    <t>Name:</t>
  </si>
  <si>
    <t>Position:</t>
  </si>
  <si>
    <t>Date:</t>
  </si>
  <si>
    <t>For Client:</t>
  </si>
  <si>
    <t>Approved By: (Sign)</t>
  </si>
  <si>
    <t>In Only surveys due to Drill string interference. BHA LIH due to total losses, loss of hydrostatic and WB collapse.</t>
  </si>
  <si>
    <t>Taras Matviykiv</t>
  </si>
  <si>
    <t>SDE</t>
  </si>
  <si>
    <t>Matteo Dessy</t>
  </si>
  <si>
    <t>NLW-GT-02 / NLW-GT-02 (LIH)</t>
  </si>
  <si>
    <t>Act Stns</t>
  </si>
  <si>
    <t>1/30.000</t>
  </si>
  <si>
    <t>Borehole / Survey</t>
  </si>
  <si>
    <t>Survey Tool Type</t>
  </si>
  <si>
    <t>Casing Diameter
(in)</t>
  </si>
  <si>
    <t>Hole Size
(in)</t>
  </si>
  <si>
    <t>EOU Freq 
 (m)</t>
  </si>
  <si>
    <t>MD To 
 (m)</t>
  </si>
  <si>
    <t>MD From 
 (m)</t>
  </si>
  <si>
    <t>Part</t>
  </si>
  <si>
    <t>Description</t>
  </si>
  <si>
    <t>Survey Program:</t>
  </si>
  <si>
    <t>ISCWSA Rev 0 *** 3-D 95.000% Confidence 2.7955 sigma</t>
  </si>
  <si>
    <t>Survey Error Model:</t>
  </si>
  <si>
    <t>Def Survey</t>
  </si>
  <si>
    <t>Survey Type:</t>
  </si>
  <si>
    <t>E     4 14 22.29</t>
  </si>
  <si>
    <t>N   51 59 26.90</t>
  </si>
  <si>
    <t>Proj. to TD</t>
  </si>
  <si>
    <t>N   51 59 26.91</t>
  </si>
  <si>
    <t>E     4 14 22.30</t>
  </si>
  <si>
    <t>N   51 59 26.92</t>
  </si>
  <si>
    <t>N   51 59 26.93</t>
  </si>
  <si>
    <t>E     4 14 22.31</t>
  </si>
  <si>
    <t>N   51 59 26.94</t>
  </si>
  <si>
    <t>N   51 59 26.95</t>
  </si>
  <si>
    <t>E     4 14 22.32</t>
  </si>
  <si>
    <t>N   51 59 26.96</t>
  </si>
  <si>
    <t>E     4 14 22.33</t>
  </si>
  <si>
    <t>N   51 59 26.97</t>
  </si>
  <si>
    <t>N   51 59 26.98</t>
  </si>
  <si>
    <t>E     4 14 22.34</t>
  </si>
  <si>
    <t>E     4 14 22.35</t>
  </si>
  <si>
    <t>N   51 59 26.99</t>
  </si>
  <si>
    <t>E     4 14 22.36</t>
  </si>
  <si>
    <t>N   51 59 27.00</t>
  </si>
  <si>
    <t>E     4 14 22.37</t>
  </si>
  <si>
    <t>E     4 14 22.39</t>
  </si>
  <si>
    <t>N   51 59 27.01</t>
  </si>
  <si>
    <t>E     4 14 22.40</t>
  </si>
  <si>
    <t>E     4 14 22.38</t>
  </si>
  <si>
    <t>Tie-In</t>
  </si>
  <si>
    <t>Longitude
(E/W ° ' ")</t>
  </si>
  <si>
    <t>Latitude
(N/S ° ' ")</t>
  </si>
  <si>
    <t>Easting
(m)</t>
  </si>
  <si>
    <t>Northing
(m)</t>
  </si>
  <si>
    <t>DLS
(°/30m)</t>
  </si>
  <si>
    <t>EW
(m)</t>
  </si>
  <si>
    <t>NS
(m)</t>
  </si>
  <si>
    <t>VSEC
(m)</t>
  </si>
  <si>
    <t>TVDSS
(m)</t>
  </si>
  <si>
    <t>TVD
(m)</t>
  </si>
  <si>
    <t>Azim Grid
(°)</t>
  </si>
  <si>
    <t>Incl
(°)</t>
  </si>
  <si>
    <t>MD
(m)</t>
  </si>
  <si>
    <t>Comments</t>
  </si>
  <si>
    <t>Structure Reference Point</t>
  </si>
  <si>
    <t>Local Coord Referenced To:</t>
  </si>
  <si>
    <t>Total Corr Mag North-&gt;Grid North:</t>
  </si>
  <si>
    <t>2.10.254.0</t>
  </si>
  <si>
    <t>Version / Patch:</t>
  </si>
  <si>
    <t>-0.9056 °</t>
  </si>
  <si>
    <t>Grid Convergence Used:</t>
  </si>
  <si>
    <t>Grid Scale Factor:</t>
  </si>
  <si>
    <t>North Reference:</t>
  </si>
  <si>
    <t>CRS Grid Convergence Angle:</t>
  </si>
  <si>
    <t>Magnetic Declination Model:</t>
  </si>
  <si>
    <t>N 445230.000 m, E 76154.000 m</t>
  </si>
  <si>
    <t>Location Grid N/E Y/X:</t>
  </si>
  <si>
    <t>March 15, 2018</t>
  </si>
  <si>
    <t>Declination Date:</t>
  </si>
  <si>
    <t>N  51° 59' 26.96188", E   4° 14' 22.35732"</t>
  </si>
  <si>
    <t>Location Lat / Long:</t>
  </si>
  <si>
    <t>67.070 °</t>
  </si>
  <si>
    <t>Magnetic Dip Angle:</t>
  </si>
  <si>
    <t>Coordinate Reference System:</t>
  </si>
  <si>
    <t>49043.012 nT</t>
  </si>
  <si>
    <t>Total Magnetic Field Strength:</t>
  </si>
  <si>
    <t>5.628 ° / 6.184 m / 2.058 / 0.005</t>
  </si>
  <si>
    <t>Tort / AHD / DDI / ERD Ratio:</t>
  </si>
  <si>
    <t>GARM</t>
  </si>
  <si>
    <t>Gravity Model:</t>
  </si>
  <si>
    <t>1000.5836mgn (9.80665 Based)</t>
  </si>
  <si>
    <t>Total Gravity Field Strength:</t>
  </si>
  <si>
    <t>Survey Name:</t>
  </si>
  <si>
    <t>Unknown / Unknown</t>
  </si>
  <si>
    <t>UWI / API#:</t>
  </si>
  <si>
    <t>Seabed / Ground Elevation:</t>
  </si>
  <si>
    <t>Well:</t>
  </si>
  <si>
    <t>Rotary Table</t>
  </si>
  <si>
    <t>NLW-GT-02 / NLW-GT-02</t>
  </si>
  <si>
    <t>Structure / Slot:</t>
  </si>
  <si>
    <t>Vertical Section Azimuth:</t>
  </si>
  <si>
    <t>Minimum Curvature / Lubinski</t>
  </si>
  <si>
    <t>Survey / DLS Computation:</t>
  </si>
  <si>
    <t>May 18, 2018 - 09:55 AM</t>
  </si>
  <si>
    <t>(Def Survey)</t>
  </si>
  <si>
    <t>NLW-GT-02 (LIH) Survey Geodetic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</si>
</sst>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;@"/>
    <numFmt numFmtId="165" formatCode="0.000"/>
    <numFmt numFmtId="166" formatCode="[$-409]mmmm\ d\,\ yyyy;@"/>
  </numFmts>
  <fonts count="20">
    <font>
      <sz val="11"/>
      <name val="Calibri"/>
    </font>
    <font>
      <sz val="11"/>
      <color theme="1"/>
      <name val="Calibri"/>
      <family val="2"/>
      <scheme val="minor"/>
    </font>
    <font>
      <b/>
      <sz val="8"/>
      <name val="Arial"/>
    </font>
    <font>
      <sz val="8"/>
      <name val="Arial"/>
    </font>
    <font>
      <sz val="11"/>
      <color rgb="FF0000FF"/>
      <name val="Arial Black"/>
    </font>
    <font>
      <sz val="10"/>
      <name val="Arial"/>
    </font>
    <font>
      <sz val="7"/>
      <name val="Arial"/>
    </font>
    <font>
      <b/>
      <sz val="11"/>
      <name val="Calibri"/>
    </font>
    <font>
      <sz val="11"/>
      <name val="Calibri"/>
    </font>
    <font>
      <sz val="11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49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8"/>
      <name val="Arial"/>
      <family val="2"/>
    </font>
    <font>
      <b/>
      <sz val="18"/>
      <color indexed="8"/>
      <name val="Arial"/>
      <family val="2"/>
    </font>
    <font>
      <b/>
      <sz val="2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indexed="44"/>
        <bgColor indexed="64"/>
      </patternFill>
    </fill>
  </fills>
  <borders count="4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medium">
        <color auto="1"/>
      </bottom>
      <diagonal/>
    </border>
    <border>
      <left/>
      <right/>
      <top style="thin">
        <color rgb="FFFFFFFF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auto="1"/>
      </left>
      <right style="medium">
        <color auto="1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34"/>
  </cellStyleXfs>
  <cellXfs count="144">
    <xf numFmtId="0" fontId="0" fillId="0" borderId="0" xfId="0" applyProtection="1"/>
    <xf numFmtId="0" fontId="2" fillId="0" borderId="1" xfId="0" applyFont="1" applyBorder="1" applyProtection="1"/>
    <xf numFmtId="0" fontId="3" fillId="0" borderId="1" xfId="0" applyFont="1" applyBorder="1" applyProtection="1"/>
    <xf numFmtId="0" fontId="2" fillId="0" borderId="1" xfId="0" applyFont="1" applyBorder="1" applyAlignment="1" applyProtection="1">
      <alignment horizontal="right"/>
    </xf>
    <xf numFmtId="0" fontId="4" fillId="0" borderId="2" xfId="0" applyFont="1" applyBorder="1" applyProtection="1"/>
    <xf numFmtId="0" fontId="0" fillId="0" borderId="3" xfId="0" applyBorder="1" applyProtection="1"/>
    <xf numFmtId="0" fontId="0" fillId="0" borderId="4" xfId="0" applyBorder="1" applyProtection="1"/>
    <xf numFmtId="0" fontId="2" fillId="2" borderId="8" xfId="0" applyFont="1" applyFill="1" applyBorder="1" applyAlignment="1" applyProtection="1">
      <alignment horizontal="left"/>
    </xf>
    <xf numFmtId="0" fontId="2" fillId="2" borderId="12" xfId="0" applyFont="1" applyFill="1" applyBorder="1" applyProtection="1"/>
    <xf numFmtId="0" fontId="2" fillId="2" borderId="14" xfId="0" applyFont="1" applyFill="1" applyBorder="1" applyProtection="1"/>
    <xf numFmtId="0" fontId="2" fillId="2" borderId="15" xfId="0" applyFont="1" applyFill="1" applyBorder="1" applyAlignment="1" applyProtection="1">
      <alignment horizontal="left"/>
    </xf>
    <xf numFmtId="0" fontId="2" fillId="2" borderId="0" xfId="0" applyFont="1" applyFill="1" applyProtection="1"/>
    <xf numFmtId="0" fontId="3" fillId="0" borderId="16" xfId="0" applyFont="1" applyBorder="1" applyProtection="1"/>
    <xf numFmtId="0" fontId="3" fillId="0" borderId="3" xfId="0" applyFont="1" applyBorder="1" applyProtection="1"/>
    <xf numFmtId="0" fontId="2" fillId="2" borderId="8" xfId="0" applyFont="1" applyFill="1" applyBorder="1" applyProtection="1"/>
    <xf numFmtId="0" fontId="0" fillId="2" borderId="21" xfId="0" applyFill="1" applyBorder="1" applyProtection="1"/>
    <xf numFmtId="164" fontId="3" fillId="0" borderId="14" xfId="0" applyNumberFormat="1" applyFont="1" applyBorder="1" applyAlignment="1" applyProtection="1">
      <alignment horizontal="center"/>
    </xf>
    <xf numFmtId="164" fontId="3" fillId="0" borderId="21" xfId="0" applyNumberFormat="1" applyFont="1" applyBorder="1" applyAlignment="1" applyProtection="1">
      <alignment horizontal="center"/>
    </xf>
    <xf numFmtId="0" fontId="2" fillId="0" borderId="3" xfId="0" applyFont="1" applyBorder="1" applyProtection="1"/>
    <xf numFmtId="0" fontId="4" fillId="0" borderId="16" xfId="0" applyFont="1" applyBorder="1" applyProtection="1"/>
    <xf numFmtId="0" fontId="3" fillId="0" borderId="22" xfId="0" applyFont="1" applyBorder="1" applyProtection="1"/>
    <xf numFmtId="0" fontId="2" fillId="0" borderId="23" xfId="0" applyFont="1" applyBorder="1" applyAlignment="1" applyProtection="1">
      <alignment horizontal="center"/>
    </xf>
    <xf numFmtId="0" fontId="5" fillId="0" borderId="24" xfId="0" applyFont="1" applyBorder="1" applyAlignment="1" applyProtection="1">
      <alignment horizontal="center"/>
    </xf>
    <xf numFmtId="0" fontId="3" fillId="0" borderId="24" xfId="0" applyFont="1" applyBorder="1" applyAlignment="1" applyProtection="1">
      <alignment horizontal="center"/>
    </xf>
    <xf numFmtId="0" fontId="0" fillId="0" borderId="0" xfId="0" applyProtection="1"/>
    <xf numFmtId="0" fontId="2" fillId="0" borderId="25" xfId="0" applyFont="1" applyBorder="1" applyProtection="1"/>
    <xf numFmtId="0" fontId="3" fillId="4" borderId="14" xfId="0" applyFont="1" applyFill="1" applyBorder="1" applyProtection="1"/>
    <xf numFmtId="0" fontId="0" fillId="0" borderId="21" xfId="0" applyBorder="1" applyProtection="1"/>
    <xf numFmtId="0" fontId="4" fillId="0" borderId="1" xfId="0" applyFont="1" applyBorder="1" applyProtection="1"/>
    <xf numFmtId="0" fontId="3" fillId="0" borderId="26" xfId="0" applyFont="1" applyBorder="1" applyProtection="1"/>
    <xf numFmtId="0" fontId="2" fillId="2" borderId="14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2" fontId="3" fillId="0" borderId="14" xfId="0" applyNumberFormat="1" applyFont="1" applyBorder="1" applyAlignment="1" applyProtection="1">
      <alignment horizontal="center"/>
    </xf>
    <xf numFmtId="2" fontId="3" fillId="0" borderId="8" xfId="0" applyNumberFormat="1" applyFont="1" applyBorder="1" applyAlignment="1" applyProtection="1">
      <alignment horizontal="center"/>
    </xf>
    <xf numFmtId="0" fontId="3" fillId="0" borderId="27" xfId="0" applyFont="1" applyBorder="1" applyProtection="1"/>
    <xf numFmtId="0" fontId="3" fillId="0" borderId="28" xfId="0" applyFont="1" applyBorder="1" applyProtection="1"/>
    <xf numFmtId="0" fontId="3" fillId="0" borderId="2" xfId="0" applyFont="1" applyBorder="1" applyProtection="1"/>
    <xf numFmtId="0" fontId="2" fillId="0" borderId="14" xfId="0" applyFont="1" applyBorder="1" applyProtection="1"/>
    <xf numFmtId="0" fontId="3" fillId="0" borderId="29" xfId="0" applyFont="1" applyBorder="1" applyProtection="1"/>
    <xf numFmtId="0" fontId="7" fillId="0" borderId="0" xfId="0" applyFont="1" applyProtection="1"/>
    <xf numFmtId="0" fontId="3" fillId="0" borderId="14" xfId="0" applyFont="1" applyBorder="1" applyProtection="1"/>
    <xf numFmtId="0" fontId="3" fillId="0" borderId="14" xfId="0" applyFont="1" applyBorder="1" applyAlignment="1" applyProtection="1">
      <alignment horizontal="center"/>
    </xf>
    <xf numFmtId="0" fontId="4" fillId="0" borderId="22" xfId="0" applyFont="1" applyBorder="1" applyProtection="1"/>
    <xf numFmtId="0" fontId="0" fillId="3" borderId="3" xfId="0" applyFill="1" applyBorder="1" applyProtection="1"/>
    <xf numFmtId="0" fontId="0" fillId="2" borderId="12" xfId="0" applyFill="1" applyBorder="1" applyProtection="1"/>
    <xf numFmtId="0" fontId="3" fillId="3" borderId="3" xfId="0" applyFont="1" applyFill="1" applyBorder="1" applyProtection="1"/>
    <xf numFmtId="0" fontId="2" fillId="0" borderId="8" xfId="0" applyFont="1" applyBorder="1" applyProtection="1"/>
    <xf numFmtId="0" fontId="3" fillId="0" borderId="39" xfId="0" applyFont="1" applyBorder="1" applyProtection="1"/>
    <xf numFmtId="0" fontId="3" fillId="0" borderId="9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2" fillId="0" borderId="9" xfId="0" applyFont="1" applyBorder="1" applyProtection="1"/>
    <xf numFmtId="0" fontId="2" fillId="0" borderId="11" xfId="0" applyFont="1" applyBorder="1" applyProtection="1"/>
    <xf numFmtId="2" fontId="3" fillId="0" borderId="9" xfId="0" applyNumberFormat="1" applyFont="1" applyBorder="1" applyAlignment="1" applyProtection="1">
      <alignment horizontal="center"/>
    </xf>
    <xf numFmtId="2" fontId="3" fillId="0" borderId="11" xfId="0" applyNumberFormat="1" applyFont="1" applyBorder="1" applyAlignment="1" applyProtection="1">
      <alignment horizontal="center"/>
    </xf>
    <xf numFmtId="0" fontId="2" fillId="0" borderId="9" xfId="0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center"/>
    </xf>
    <xf numFmtId="2" fontId="3" fillId="0" borderId="10" xfId="0" applyNumberFormat="1" applyFont="1" applyBorder="1" applyAlignment="1" applyProtection="1">
      <alignment horizontal="center"/>
    </xf>
    <xf numFmtId="164" fontId="3" fillId="0" borderId="9" xfId="0" applyNumberFormat="1" applyFont="1" applyBorder="1" applyAlignment="1" applyProtection="1">
      <alignment horizontal="center"/>
    </xf>
    <xf numFmtId="164" fontId="3" fillId="0" borderId="11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right"/>
    </xf>
    <xf numFmtId="0" fontId="4" fillId="0" borderId="6" xfId="0" applyFont="1" applyBorder="1" applyAlignment="1" applyProtection="1">
      <alignment horizontal="right"/>
    </xf>
    <xf numFmtId="0" fontId="4" fillId="0" borderId="7" xfId="0" applyFont="1" applyBorder="1" applyAlignment="1" applyProtection="1">
      <alignment horizontal="right"/>
    </xf>
    <xf numFmtId="0" fontId="3" fillId="0" borderId="9" xfId="0" applyFont="1" applyBorder="1" applyProtection="1"/>
    <xf numFmtId="0" fontId="3" fillId="0" borderId="10" xfId="0" applyFont="1" applyBorder="1" applyProtection="1"/>
    <xf numFmtId="0" fontId="3" fillId="0" borderId="11" xfId="0" applyFont="1" applyBorder="1" applyProtection="1"/>
    <xf numFmtId="0" fontId="2" fillId="0" borderId="10" xfId="0" applyFont="1" applyBorder="1" applyAlignment="1" applyProtection="1">
      <alignment horizontal="center"/>
    </xf>
    <xf numFmtId="14" fontId="3" fillId="0" borderId="9" xfId="0" applyNumberFormat="1" applyFont="1" applyBorder="1" applyAlignment="1" applyProtection="1">
      <alignment horizontal="center"/>
    </xf>
    <xf numFmtId="14" fontId="3" fillId="0" borderId="10" xfId="0" applyNumberFormat="1" applyFont="1" applyBorder="1" applyAlignment="1" applyProtection="1">
      <alignment horizontal="center"/>
    </xf>
    <xf numFmtId="14" fontId="3" fillId="0" borderId="11" xfId="0" applyNumberFormat="1" applyFont="1" applyBorder="1" applyAlignment="1" applyProtection="1">
      <alignment horizontal="center"/>
    </xf>
    <xf numFmtId="0" fontId="2" fillId="2" borderId="9" xfId="0" applyFont="1" applyFill="1" applyBorder="1" applyProtection="1"/>
    <xf numFmtId="0" fontId="2" fillId="2" borderId="11" xfId="0" applyFont="1" applyFill="1" applyBorder="1" applyProtection="1"/>
    <xf numFmtId="0" fontId="6" fillId="0" borderId="9" xfId="0" applyFont="1" applyBorder="1" applyAlignment="1" applyProtection="1">
      <alignment horizontal="center"/>
    </xf>
    <xf numFmtId="0" fontId="6" fillId="0" borderId="10" xfId="0" applyFont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</xf>
    <xf numFmtId="0" fontId="2" fillId="2" borderId="10" xfId="0" applyFont="1" applyFill="1" applyBorder="1" applyProtection="1"/>
    <xf numFmtId="0" fontId="3" fillId="0" borderId="30" xfId="0" applyFont="1" applyBorder="1" applyAlignment="1" applyProtection="1">
      <alignment horizontal="left" vertical="top" wrapText="1"/>
    </xf>
    <xf numFmtId="0" fontId="3" fillId="0" borderId="31" xfId="0" applyFont="1" applyBorder="1" applyAlignment="1" applyProtection="1">
      <alignment horizontal="left" vertical="top" wrapText="1"/>
    </xf>
    <xf numFmtId="0" fontId="3" fillId="0" borderId="32" xfId="0" applyFont="1" applyBorder="1" applyAlignment="1" applyProtection="1">
      <alignment horizontal="left" vertical="top" wrapText="1"/>
    </xf>
    <xf numFmtId="0" fontId="3" fillId="0" borderId="33" xfId="0" applyFont="1" applyBorder="1" applyAlignment="1" applyProtection="1">
      <alignment horizontal="left" vertical="top" wrapText="1"/>
    </xf>
    <xf numFmtId="0" fontId="3" fillId="0" borderId="34" xfId="0" applyFont="1" applyBorder="1" applyAlignment="1" applyProtection="1">
      <alignment horizontal="left" vertical="top" wrapText="1"/>
    </xf>
    <xf numFmtId="0" fontId="3" fillId="0" borderId="35" xfId="0" applyFont="1" applyBorder="1" applyAlignment="1" applyProtection="1">
      <alignment horizontal="left" vertical="top" wrapText="1"/>
    </xf>
    <xf numFmtId="0" fontId="3" fillId="0" borderId="36" xfId="0" applyFont="1" applyBorder="1" applyAlignment="1" applyProtection="1">
      <alignment horizontal="left" vertical="top" wrapText="1"/>
    </xf>
    <xf numFmtId="0" fontId="3" fillId="0" borderId="37" xfId="0" applyFont="1" applyBorder="1" applyAlignment="1" applyProtection="1">
      <alignment horizontal="left" vertical="top" wrapText="1"/>
    </xf>
    <xf numFmtId="0" fontId="3" fillId="0" borderId="38" xfId="0" applyFont="1" applyBorder="1" applyAlignment="1" applyProtection="1">
      <alignment horizontal="left" vertical="top" wrapText="1"/>
    </xf>
    <xf numFmtId="2" fontId="2" fillId="0" borderId="8" xfId="0" applyNumberFormat="1" applyFont="1" applyBorder="1" applyAlignment="1" applyProtection="1">
      <alignment horizontal="center"/>
    </xf>
    <xf numFmtId="2" fontId="2" fillId="0" borderId="13" xfId="0" applyNumberFormat="1" applyFont="1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0" fontId="2" fillId="2" borderId="17" xfId="0" applyFont="1" applyFill="1" applyBorder="1" applyAlignment="1" applyProtection="1">
      <alignment horizontal="left" vertical="center"/>
    </xf>
    <xf numFmtId="0" fontId="2" fillId="2" borderId="18" xfId="0" applyFont="1" applyFill="1" applyBorder="1" applyAlignment="1" applyProtection="1">
      <alignment horizontal="left" vertical="center"/>
    </xf>
    <xf numFmtId="0" fontId="2" fillId="2" borderId="19" xfId="0" applyFont="1" applyFill="1" applyBorder="1" applyAlignment="1" applyProtection="1">
      <alignment horizontal="left" vertical="center"/>
    </xf>
    <xf numFmtId="0" fontId="2" fillId="2" borderId="20" xfId="0" applyFont="1" applyFill="1" applyBorder="1" applyAlignment="1" applyProtection="1">
      <alignment horizontal="left" vertical="center"/>
    </xf>
    <xf numFmtId="0" fontId="2" fillId="3" borderId="9" xfId="0" applyFont="1" applyFill="1" applyBorder="1" applyAlignment="1" applyProtection="1">
      <alignment horizontal="center"/>
    </xf>
    <xf numFmtId="0" fontId="2" fillId="3" borderId="10" xfId="0" applyFont="1" applyFill="1" applyBorder="1" applyAlignment="1" applyProtection="1">
      <alignment horizontal="center"/>
    </xf>
    <xf numFmtId="0" fontId="2" fillId="3" borderId="11" xfId="0" applyFont="1" applyFill="1" applyBorder="1" applyAlignment="1" applyProtection="1">
      <alignment horizontal="center"/>
    </xf>
    <xf numFmtId="2" fontId="2" fillId="0" borderId="9" xfId="0" applyNumberFormat="1" applyFont="1" applyBorder="1" applyAlignment="1" applyProtection="1">
      <alignment horizontal="center"/>
    </xf>
    <xf numFmtId="2" fontId="2" fillId="0" borderId="10" xfId="0" applyNumberFormat="1" applyFont="1" applyBorder="1" applyAlignment="1" applyProtection="1">
      <alignment horizontal="center"/>
    </xf>
    <xf numFmtId="2" fontId="2" fillId="0" borderId="11" xfId="0" applyNumberFormat="1" applyFont="1" applyBorder="1" applyAlignment="1" applyProtection="1">
      <alignment horizontal="center"/>
    </xf>
    <xf numFmtId="0" fontId="3" fillId="4" borderId="9" xfId="0" applyFont="1" applyFill="1" applyBorder="1" applyAlignment="1" applyProtection="1">
      <alignment horizontal="center"/>
    </xf>
    <xf numFmtId="0" fontId="3" fillId="4" borderId="11" xfId="0" applyFont="1" applyFill="1" applyBorder="1" applyAlignment="1" applyProtection="1">
      <alignment horizontal="center"/>
    </xf>
    <xf numFmtId="0" fontId="9" fillId="0" borderId="34" xfId="2" applyFont="1" applyBorder="1" applyProtection="1">
      <protection locked="0"/>
    </xf>
    <xf numFmtId="0" fontId="10" fillId="0" borderId="34" xfId="2" applyFont="1" applyBorder="1" applyAlignment="1" applyProtection="1">
      <alignment horizontal="right" vertical="center" wrapText="1"/>
      <protection locked="0"/>
    </xf>
    <xf numFmtId="0" fontId="10" fillId="0" borderId="34" xfId="2" applyFont="1" applyBorder="1" applyAlignment="1" applyProtection="1">
      <alignment horizontal="right" vertical="center" wrapText="1"/>
      <protection locked="0"/>
    </xf>
    <xf numFmtId="2" fontId="11" fillId="0" borderId="34" xfId="2" applyNumberFormat="1" applyFont="1" applyFill="1" applyBorder="1" applyAlignment="1">
      <alignment horizontal="center" vertical="center" wrapText="1"/>
    </xf>
    <xf numFmtId="165" fontId="11" fillId="0" borderId="34" xfId="2" applyNumberFormat="1" applyFont="1" applyFill="1" applyBorder="1" applyAlignment="1">
      <alignment horizontal="right" vertical="center"/>
    </xf>
    <xf numFmtId="1" fontId="11" fillId="0" borderId="34" xfId="2" applyNumberFormat="1" applyFont="1" applyFill="1" applyBorder="1" applyAlignment="1">
      <alignment horizontal="right" vertical="center"/>
    </xf>
    <xf numFmtId="0" fontId="10" fillId="0" borderId="34" xfId="2" applyFont="1" applyBorder="1" applyAlignment="1" applyProtection="1">
      <alignment horizontal="center" vertical="center" wrapText="1"/>
      <protection locked="0"/>
    </xf>
    <xf numFmtId="0" fontId="12" fillId="0" borderId="40" xfId="2" applyFont="1" applyFill="1" applyBorder="1" applyAlignment="1">
      <alignment horizontal="center" vertical="center" wrapText="1"/>
    </xf>
    <xf numFmtId="0" fontId="12" fillId="0" borderId="40" xfId="2" applyFont="1" applyFill="1" applyBorder="1" applyAlignment="1">
      <alignment horizontal="right" vertical="center" wrapText="1"/>
    </xf>
    <xf numFmtId="0" fontId="12" fillId="0" borderId="40" xfId="2" applyFont="1" applyFill="1" applyBorder="1" applyAlignment="1">
      <alignment horizontal="center" vertical="center" wrapText="1"/>
    </xf>
    <xf numFmtId="0" fontId="10" fillId="0" borderId="34" xfId="2" applyFont="1" applyBorder="1" applyProtection="1">
      <protection locked="0"/>
    </xf>
    <xf numFmtId="0" fontId="10" fillId="0" borderId="34" xfId="2" applyFont="1" applyBorder="1" applyProtection="1">
      <protection locked="0"/>
    </xf>
    <xf numFmtId="0" fontId="11" fillId="0" borderId="34" xfId="2" applyFont="1" applyFill="1" applyBorder="1" applyAlignment="1" applyProtection="1">
      <alignment horizontal="left" vertical="center"/>
      <protection locked="0"/>
    </xf>
    <xf numFmtId="0" fontId="12" fillId="0" borderId="34" xfId="2" applyFont="1" applyFill="1" applyBorder="1" applyAlignment="1" applyProtection="1">
      <alignment horizontal="left" vertical="center"/>
      <protection locked="0"/>
    </xf>
    <xf numFmtId="2" fontId="11" fillId="0" borderId="34" xfId="2" applyNumberFormat="1" applyFont="1" applyFill="1" applyBorder="1" applyAlignment="1">
      <alignment horizontal="right" vertical="center"/>
    </xf>
    <xf numFmtId="165" fontId="11" fillId="0" borderId="34" xfId="2" applyNumberFormat="1" applyFont="1" applyFill="1" applyBorder="1" applyAlignment="1">
      <alignment horizontal="left" vertical="center" wrapText="1"/>
    </xf>
    <xf numFmtId="0" fontId="10" fillId="0" borderId="34" xfId="2" applyFont="1" applyBorder="1" applyAlignment="1" applyProtection="1">
      <alignment wrapText="1"/>
      <protection locked="0"/>
    </xf>
    <xf numFmtId="2" fontId="11" fillId="5" borderId="34" xfId="2" applyNumberFormat="1" applyFont="1" applyFill="1" applyBorder="1" applyAlignment="1">
      <alignment horizontal="right" vertical="center"/>
    </xf>
    <xf numFmtId="165" fontId="11" fillId="5" borderId="34" xfId="2" applyNumberFormat="1" applyFont="1" applyFill="1" applyBorder="1" applyAlignment="1">
      <alignment horizontal="left" vertical="center" wrapText="1"/>
    </xf>
    <xf numFmtId="0" fontId="12" fillId="0" borderId="40" xfId="2" applyFont="1" applyFill="1" applyBorder="1" applyAlignment="1">
      <alignment horizontal="left" vertical="center" wrapText="1"/>
    </xf>
    <xf numFmtId="0" fontId="11" fillId="0" borderId="34" xfId="2" applyFont="1" applyFill="1" applyBorder="1" applyAlignment="1" applyProtection="1">
      <alignment horizontal="left" vertical="center" wrapText="1"/>
      <protection locked="0"/>
    </xf>
    <xf numFmtId="0" fontId="13" fillId="0" borderId="34" xfId="2" applyFont="1" applyBorder="1" applyAlignment="1" applyProtection="1">
      <alignment vertical="center" shrinkToFit="1"/>
      <protection locked="0"/>
    </xf>
    <xf numFmtId="0" fontId="14" fillId="0" borderId="34" xfId="2" applyFont="1" applyBorder="1" applyAlignment="1" applyProtection="1">
      <alignment horizontal="right" vertical="center" shrinkToFit="1"/>
      <protection locked="0"/>
    </xf>
    <xf numFmtId="0" fontId="11" fillId="0" borderId="34" xfId="2" applyFont="1" applyFill="1" applyBorder="1" applyAlignment="1" applyProtection="1">
      <alignment horizontal="left" vertical="center" wrapText="1"/>
      <protection locked="0"/>
    </xf>
    <xf numFmtId="0" fontId="12" fillId="0" borderId="34" xfId="2" applyFont="1" applyFill="1" applyBorder="1" applyAlignment="1" applyProtection="1">
      <alignment horizontal="left" vertical="center" wrapText="1"/>
      <protection locked="0"/>
    </xf>
    <xf numFmtId="0" fontId="11" fillId="0" borderId="34" xfId="2" applyFont="1" applyFill="1" applyAlignment="1">
      <alignment horizontal="left" vertical="center" wrapText="1" shrinkToFit="1"/>
    </xf>
    <xf numFmtId="0" fontId="11" fillId="0" borderId="34" xfId="2" applyFont="1" applyFill="1" applyBorder="1" applyAlignment="1" applyProtection="1">
      <alignment horizontal="left" vertical="center" wrapText="1" shrinkToFit="1"/>
      <protection locked="0"/>
    </xf>
    <xf numFmtId="0" fontId="12" fillId="0" borderId="34" xfId="2" applyFont="1" applyFill="1" applyBorder="1" applyAlignment="1" applyProtection="1">
      <alignment horizontal="left" vertical="center" wrapText="1"/>
      <protection locked="0"/>
    </xf>
    <xf numFmtId="0" fontId="11" fillId="0" borderId="34" xfId="2" applyFont="1" applyFill="1" applyAlignment="1">
      <alignment horizontal="left" vertical="center" wrapText="1" shrinkToFit="1"/>
    </xf>
    <xf numFmtId="0" fontId="11" fillId="0" borderId="34" xfId="2" applyFont="1" applyFill="1" applyBorder="1" applyAlignment="1" applyProtection="1">
      <alignment horizontal="left" vertical="center" wrapText="1" shrinkToFit="1"/>
      <protection locked="0"/>
    </xf>
    <xf numFmtId="166" fontId="11" fillId="0" borderId="34" xfId="2" applyNumberFormat="1" applyFont="1" applyFill="1" applyBorder="1" applyAlignment="1" applyProtection="1">
      <alignment horizontal="left" vertical="center" wrapText="1"/>
      <protection locked="0"/>
    </xf>
    <xf numFmtId="0" fontId="11" fillId="0" borderId="34" xfId="2" applyFont="1" applyFill="1" applyAlignment="1">
      <alignment horizontal="left" vertical="center" wrapText="1"/>
    </xf>
    <xf numFmtId="0" fontId="11" fillId="0" borderId="34" xfId="2" applyFont="1" applyFill="1" applyAlignment="1">
      <alignment wrapText="1"/>
    </xf>
    <xf numFmtId="166" fontId="11" fillId="0" borderId="34" xfId="2" applyNumberFormat="1" applyFont="1" applyFill="1" applyAlignment="1">
      <alignment horizontal="left" vertical="center" wrapText="1" shrinkToFit="1"/>
    </xf>
    <xf numFmtId="166" fontId="11" fillId="0" borderId="34" xfId="2" applyNumberFormat="1" applyFont="1" applyFill="1" applyBorder="1" applyAlignment="1" applyProtection="1">
      <alignment horizontal="left" vertical="center" wrapText="1" shrinkToFit="1"/>
      <protection locked="0"/>
    </xf>
    <xf numFmtId="0" fontId="10" fillId="0" borderId="34" xfId="2" applyFont="1"/>
    <xf numFmtId="0" fontId="15" fillId="0" borderId="34" xfId="2" applyFont="1" applyBorder="1" applyProtection="1">
      <protection locked="0"/>
    </xf>
    <xf numFmtId="0" fontId="16" fillId="0" borderId="34" xfId="2" applyFont="1" applyFill="1" applyBorder="1" applyAlignment="1" applyProtection="1">
      <alignment horizontal="center" vertical="center"/>
      <protection locked="0"/>
    </xf>
    <xf numFmtId="0" fontId="16" fillId="0" borderId="34" xfId="2" applyFont="1" applyFill="1" applyBorder="1" applyAlignment="1" applyProtection="1">
      <alignment horizontal="centerContinuous" vertical="center" wrapText="1"/>
      <protection locked="0"/>
    </xf>
    <xf numFmtId="0" fontId="17" fillId="0" borderId="34" xfId="2" applyFont="1" applyFill="1" applyBorder="1" applyAlignment="1" applyProtection="1">
      <alignment horizontal="centerContinuous" vertical="center" wrapText="1"/>
      <protection locked="0"/>
    </xf>
    <xf numFmtId="0" fontId="18" fillId="0" borderId="34" xfId="2" applyFont="1" applyFill="1" applyBorder="1" applyAlignment="1" applyProtection="1">
      <alignment horizontal="center" vertical="center"/>
      <protection locked="0"/>
    </xf>
    <xf numFmtId="0" fontId="18" fillId="0" borderId="34" xfId="2" applyFont="1" applyFill="1" applyBorder="1" applyAlignment="1" applyProtection="1">
      <alignment horizontal="centerContinuous" vertical="center" wrapText="1"/>
      <protection locked="0"/>
    </xf>
    <xf numFmtId="0" fontId="19" fillId="0" borderId="34" xfId="2" applyFont="1" applyFill="1" applyBorder="1" applyAlignment="1" applyProtection="1">
      <alignment horizontal="centerContinuous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gif"/><Relationship Id="rId1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280000</xdr:colOff>
      <xdr:row>1</xdr:row>
      <xdr:rowOff>0</xdr:rowOff>
    </xdr:from>
    <xdr:to>
      <xdr:col>3</xdr:col>
      <xdr:colOff>470000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absolute">
    <xdr:from>
      <xdr:col>8</xdr:col>
      <xdr:colOff>430000</xdr:colOff>
      <xdr:row>1</xdr:row>
      <xdr:rowOff>0</xdr:rowOff>
    </xdr:from>
    <xdr:to>
      <xdr:col>9</xdr:col>
      <xdr:colOff>420000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200000</xdr:colOff>
      <xdr:row>0</xdr:row>
      <xdr:rowOff>104972</xdr:rowOff>
    </xdr:from>
    <xdr:ext cx="1552500" cy="961556"/>
    <xdr:pic>
      <xdr:nvPicPr>
        <xdr:cNvPr id="2" name="Right_Logo">
          <a:extLst>
            <a:ext uri="{FF2B5EF4-FFF2-40B4-BE49-F238E27FC236}">
              <a16:creationId xmlns:a16="http://schemas.microsoft.com/office/drawing/2014/main" id="{FC3E409C-DA9E-4D6B-86F5-A1DDFF766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50" y="104972"/>
          <a:ext cx="1552500" cy="961556"/>
        </a:xfrm>
        <a:prstGeom prst="rect">
          <a:avLst/>
        </a:prstGeom>
      </xdr:spPr>
    </xdr:pic>
    <xdr:clientData/>
  </xdr:oneCellAnchor>
  <xdr:oneCellAnchor>
    <xdr:from>
      <xdr:col>0</xdr:col>
      <xdr:colOff>476250</xdr:colOff>
      <xdr:row>0</xdr:row>
      <xdr:rowOff>95250</xdr:rowOff>
    </xdr:from>
    <xdr:ext cx="952500" cy="952500"/>
    <xdr:pic>
      <xdr:nvPicPr>
        <xdr:cNvPr id="3" name="Left_Logo">
          <a:extLst>
            <a:ext uri="{FF2B5EF4-FFF2-40B4-BE49-F238E27FC236}">
              <a16:creationId xmlns:a16="http://schemas.microsoft.com/office/drawing/2014/main" id="{4C0D5F3D-8BE5-4CEA-B302-1DC5E1F6A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9525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52"/>
  <sheetViews>
    <sheetView showGridLines="0" zoomScaleNormal="100" zoomScaleSheetLayoutView="100" workbookViewId="0">
      <selection activeCell="P6" sqref="P6"/>
    </sheetView>
  </sheetViews>
  <sheetFormatPr defaultRowHeight="15"/>
  <cols>
    <col min="1" max="2" width="10.7109375" customWidth="1"/>
    <col min="3" max="3" width="8.42578125" customWidth="1"/>
    <col min="4" max="4" width="9.42578125" customWidth="1"/>
    <col min="5" max="5" width="8.42578125" customWidth="1"/>
    <col min="6" max="6" width="9.85546875" customWidth="1"/>
    <col min="7" max="7" width="8.5703125" customWidth="1"/>
    <col min="8" max="8" width="12.140625" customWidth="1"/>
    <col min="9" max="9" width="12.42578125" customWidth="1"/>
    <col min="10" max="10" width="15.140625" customWidth="1"/>
    <col min="11" max="11" width="16.140625" customWidth="1"/>
    <col min="12" max="12" width="10.140625" hidden="1" customWidth="1"/>
  </cols>
  <sheetData>
    <row r="1" spans="1:12" ht="6.75" customHeight="1">
      <c r="A1" s="1"/>
      <c r="B1" s="2"/>
      <c r="C1" s="2"/>
      <c r="D1" s="2"/>
      <c r="E1" s="2"/>
      <c r="F1" s="2"/>
      <c r="G1" s="2"/>
      <c r="H1" s="2"/>
      <c r="I1" s="3"/>
      <c r="J1" s="2"/>
      <c r="K1" s="2"/>
    </row>
    <row r="2" spans="1:12" ht="39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2" ht="9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2" ht="18.75">
      <c r="A4" s="4" t="s">
        <v>0</v>
      </c>
      <c r="B4" s="5"/>
      <c r="C4" s="6"/>
      <c r="D4" s="2"/>
      <c r="E4" s="2"/>
      <c r="F4" s="2"/>
      <c r="G4" s="60" t="s">
        <v>1</v>
      </c>
      <c r="H4" s="61"/>
      <c r="I4" s="61"/>
      <c r="J4" s="61"/>
      <c r="K4" s="62"/>
    </row>
    <row r="5" spans="1:12">
      <c r="A5" s="7" t="s">
        <v>2</v>
      </c>
      <c r="B5" s="55" t="s">
        <v>3</v>
      </c>
      <c r="C5" s="66"/>
      <c r="D5" s="66"/>
      <c r="E5" s="56"/>
      <c r="F5" s="8" t="s">
        <v>4</v>
      </c>
      <c r="G5" s="85" t="s">
        <v>5</v>
      </c>
      <c r="H5" s="86"/>
      <c r="I5" s="9" t="s">
        <v>6</v>
      </c>
      <c r="J5" s="58">
        <v>43238.414367280093</v>
      </c>
      <c r="K5" s="59"/>
      <c r="L5" t="s">
        <v>7</v>
      </c>
    </row>
    <row r="6" spans="1:12">
      <c r="A6" s="10" t="s">
        <v>8</v>
      </c>
      <c r="B6" s="55" t="s">
        <v>9</v>
      </c>
      <c r="C6" s="66"/>
      <c r="D6" s="66"/>
      <c r="E6" s="56"/>
      <c r="F6" s="11" t="s">
        <v>10</v>
      </c>
      <c r="G6" s="55" t="s">
        <v>11</v>
      </c>
      <c r="H6" s="56"/>
      <c r="I6" s="9" t="s">
        <v>12</v>
      </c>
      <c r="J6" s="55" t="s">
        <v>11</v>
      </c>
      <c r="K6" s="56"/>
      <c r="L6" t="s">
        <v>13</v>
      </c>
    </row>
    <row r="7" spans="1:12">
      <c r="A7" s="7" t="s">
        <v>14</v>
      </c>
      <c r="B7" s="96" t="s">
        <v>15</v>
      </c>
      <c r="C7" s="97"/>
      <c r="D7" s="97"/>
      <c r="E7" s="98"/>
      <c r="F7" s="8" t="s">
        <v>16</v>
      </c>
      <c r="G7" s="93" t="s">
        <v>17</v>
      </c>
      <c r="H7" s="94"/>
      <c r="I7" s="94"/>
      <c r="J7" s="94"/>
      <c r="K7" s="95"/>
    </row>
    <row r="8" spans="1:12" ht="11.2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t="s">
        <v>18</v>
      </c>
    </row>
    <row r="9" spans="1:12">
      <c r="A9" s="89" t="s">
        <v>19</v>
      </c>
      <c r="B9" s="90"/>
      <c r="C9" s="53">
        <v>445230</v>
      </c>
      <c r="D9" s="54"/>
      <c r="E9" s="53">
        <v>76154</v>
      </c>
      <c r="F9" s="54"/>
      <c r="G9" s="13"/>
      <c r="H9" s="70" t="s">
        <v>20</v>
      </c>
      <c r="I9" s="71"/>
      <c r="J9" s="48" t="s">
        <v>21</v>
      </c>
      <c r="K9" s="50"/>
      <c r="L9" t="s">
        <v>22</v>
      </c>
    </row>
    <row r="10" spans="1:12">
      <c r="A10" s="91"/>
      <c r="B10" s="92"/>
      <c r="C10" s="53" t="s">
        <v>23</v>
      </c>
      <c r="D10" s="54"/>
      <c r="E10" s="53" t="s">
        <v>24</v>
      </c>
      <c r="F10" s="54"/>
      <c r="G10" s="13"/>
      <c r="H10" s="70" t="s">
        <v>25</v>
      </c>
      <c r="I10" s="71"/>
      <c r="J10" s="58">
        <v>43174.688419178245</v>
      </c>
      <c r="K10" s="59"/>
      <c r="L10" t="s">
        <v>26</v>
      </c>
    </row>
    <row r="11" spans="1:12">
      <c r="A11" s="89" t="s">
        <v>27</v>
      </c>
      <c r="B11" s="90"/>
      <c r="C11" s="53">
        <v>445230</v>
      </c>
      <c r="D11" s="54"/>
      <c r="E11" s="53">
        <v>76154</v>
      </c>
      <c r="F11" s="54"/>
      <c r="G11" s="13"/>
      <c r="H11" s="14" t="s">
        <v>28</v>
      </c>
      <c r="I11" s="15"/>
      <c r="J11" s="48" t="s">
        <v>29</v>
      </c>
      <c r="K11" s="50"/>
    </row>
    <row r="12" spans="1:12">
      <c r="A12" s="91"/>
      <c r="B12" s="92"/>
      <c r="C12" s="53" t="s">
        <v>23</v>
      </c>
      <c r="D12" s="54"/>
      <c r="E12" s="53" t="s">
        <v>24</v>
      </c>
      <c r="F12" s="54"/>
      <c r="G12" s="13"/>
      <c r="H12" s="14" t="s">
        <v>30</v>
      </c>
      <c r="I12" s="15"/>
      <c r="J12" s="16" t="s">
        <v>31</v>
      </c>
      <c r="K12" s="17">
        <v>43174.688419178245</v>
      </c>
    </row>
    <row r="13" spans="1:12">
      <c r="A13" s="70" t="s">
        <v>32</v>
      </c>
      <c r="B13" s="71"/>
      <c r="C13" s="53" t="s">
        <v>33</v>
      </c>
      <c r="D13" s="54"/>
      <c r="E13" s="53" t="s">
        <v>33</v>
      </c>
      <c r="F13" s="54"/>
      <c r="G13" s="13"/>
      <c r="H13" s="14" t="s">
        <v>34</v>
      </c>
      <c r="I13" s="15"/>
      <c r="J13" s="48" t="s">
        <v>35</v>
      </c>
      <c r="K13" s="50"/>
    </row>
    <row r="14" spans="1:12">
      <c r="A14" s="70" t="s">
        <v>36</v>
      </c>
      <c r="B14" s="71"/>
      <c r="C14" s="48" t="s">
        <v>37</v>
      </c>
      <c r="D14" s="49"/>
      <c r="E14" s="49"/>
      <c r="F14" s="50"/>
      <c r="G14" s="13"/>
      <c r="H14" s="14" t="s">
        <v>38</v>
      </c>
      <c r="I14" s="15"/>
      <c r="J14" s="48" t="s">
        <v>39</v>
      </c>
      <c r="K14" s="50"/>
    </row>
    <row r="15" spans="1:12">
      <c r="A15" s="70" t="s">
        <v>40</v>
      </c>
      <c r="B15" s="71"/>
      <c r="C15" s="53" t="s">
        <v>41</v>
      </c>
      <c r="D15" s="57"/>
      <c r="E15" s="57"/>
      <c r="F15" s="54"/>
      <c r="G15" s="18"/>
      <c r="H15" s="14" t="s">
        <v>42</v>
      </c>
      <c r="I15" s="15"/>
      <c r="J15" s="48" t="s">
        <v>43</v>
      </c>
      <c r="K15" s="50"/>
    </row>
    <row r="16" spans="1:12">
      <c r="A16" s="70" t="s">
        <v>44</v>
      </c>
      <c r="B16" s="71"/>
      <c r="C16" s="53" t="s">
        <v>45</v>
      </c>
      <c r="D16" s="57"/>
      <c r="E16" s="57"/>
      <c r="F16" s="54"/>
      <c r="G16" s="13"/>
      <c r="H16" s="14" t="s">
        <v>46</v>
      </c>
      <c r="I16" s="15"/>
      <c r="J16" s="48" t="s">
        <v>47</v>
      </c>
      <c r="K16" s="50"/>
    </row>
    <row r="17" spans="1:14">
      <c r="A17" s="70" t="s">
        <v>48</v>
      </c>
      <c r="B17" s="71"/>
      <c r="C17" s="48" t="s">
        <v>49</v>
      </c>
      <c r="D17" s="49"/>
      <c r="E17" s="49"/>
      <c r="F17" s="50"/>
      <c r="H17" s="14" t="s">
        <v>50</v>
      </c>
      <c r="I17" s="15"/>
      <c r="J17" s="48" t="s">
        <v>51</v>
      </c>
      <c r="K17" s="50"/>
    </row>
    <row r="18" spans="1:14" ht="18.75">
      <c r="A18" s="19" t="s">
        <v>52</v>
      </c>
      <c r="B18" s="12"/>
      <c r="C18" s="12"/>
      <c r="D18" s="12"/>
      <c r="E18" s="12"/>
      <c r="F18" s="20"/>
      <c r="G18" s="21"/>
      <c r="H18" s="22"/>
      <c r="I18" s="22"/>
      <c r="J18" s="23"/>
      <c r="K18" s="22"/>
    </row>
    <row r="19" spans="1:14">
      <c r="A19" s="55" t="s">
        <v>53</v>
      </c>
      <c r="B19" s="66"/>
      <c r="C19" s="56"/>
      <c r="D19" s="55" t="s">
        <v>54</v>
      </c>
      <c r="E19" s="56"/>
      <c r="F19" s="55" t="s">
        <v>55</v>
      </c>
      <c r="G19" s="56"/>
      <c r="H19" s="55" t="s">
        <v>56</v>
      </c>
      <c r="I19" s="56"/>
      <c r="J19" s="55" t="s">
        <v>57</v>
      </c>
      <c r="K19" s="56"/>
      <c r="N19" s="24"/>
    </row>
    <row r="20" spans="1:14">
      <c r="A20" s="72" t="s">
        <v>58</v>
      </c>
      <c r="B20" s="73"/>
      <c r="C20" s="74"/>
      <c r="D20" s="53">
        <v>0</v>
      </c>
      <c r="E20" s="54"/>
      <c r="F20" s="53">
        <v>9.3200001922727491</v>
      </c>
      <c r="G20" s="54"/>
      <c r="H20" s="53"/>
      <c r="I20" s="54"/>
      <c r="J20" s="53"/>
      <c r="K20" s="54"/>
    </row>
    <row r="21" spans="1:14">
      <c r="A21" s="72" t="s">
        <v>59</v>
      </c>
      <c r="B21" s="73"/>
      <c r="C21" s="74"/>
      <c r="D21" s="53">
        <v>9.3200001922727491</v>
      </c>
      <c r="E21" s="54"/>
      <c r="F21" s="53">
        <v>120.21</v>
      </c>
      <c r="G21" s="54"/>
      <c r="H21" s="53">
        <v>30.000000000000018</v>
      </c>
      <c r="I21" s="54"/>
      <c r="J21" s="53">
        <v>30.000000000000018</v>
      </c>
      <c r="K21" s="54"/>
    </row>
    <row r="22" spans="1:14">
      <c r="A22" s="72" t="s">
        <v>59</v>
      </c>
      <c r="B22" s="73"/>
      <c r="C22" s="74"/>
      <c r="D22" s="53">
        <v>120.21</v>
      </c>
      <c r="E22" s="54"/>
      <c r="F22" s="53">
        <v>137</v>
      </c>
      <c r="G22" s="54"/>
      <c r="H22" s="53">
        <v>30.000000000000018</v>
      </c>
      <c r="I22" s="54"/>
      <c r="J22" s="53">
        <v>30.000000000000018</v>
      </c>
      <c r="K22" s="54"/>
    </row>
    <row r="23" spans="1:14">
      <c r="A23" s="72" t="s">
        <v>59</v>
      </c>
      <c r="B23" s="73"/>
      <c r="C23" s="74"/>
      <c r="D23" s="53">
        <v>137</v>
      </c>
      <c r="E23" s="54"/>
      <c r="F23" s="53">
        <v>1188</v>
      </c>
      <c r="G23" s="54"/>
      <c r="H23" s="53">
        <v>24</v>
      </c>
      <c r="I23" s="54"/>
      <c r="J23" s="53">
        <v>24</v>
      </c>
      <c r="K23" s="54"/>
    </row>
    <row r="24" spans="1:14">
      <c r="A24" s="48"/>
      <c r="B24" s="49"/>
      <c r="C24" s="50"/>
      <c r="D24" s="55" t="s">
        <v>60</v>
      </c>
      <c r="E24" s="56"/>
      <c r="F24" s="87"/>
      <c r="G24" s="88"/>
      <c r="H24" s="25" t="s">
        <v>61</v>
      </c>
      <c r="I24" s="26"/>
      <c r="J24" s="99"/>
      <c r="K24" s="100"/>
      <c r="L24" s="27"/>
    </row>
    <row r="25" spans="1:14" ht="18.75">
      <c r="A25" s="28" t="s">
        <v>62</v>
      </c>
      <c r="B25" s="2"/>
      <c r="C25" s="2"/>
      <c r="D25" s="2"/>
      <c r="E25" s="2"/>
      <c r="F25" s="20"/>
      <c r="G25" s="20"/>
      <c r="H25" s="29"/>
      <c r="I25" s="29"/>
      <c r="J25" s="29"/>
      <c r="K25" s="29"/>
    </row>
    <row r="26" spans="1:14">
      <c r="A26" s="30" t="s">
        <v>63</v>
      </c>
      <c r="B26" s="30" t="s">
        <v>64</v>
      </c>
      <c r="C26" s="30" t="s">
        <v>65</v>
      </c>
      <c r="D26" s="30" t="s">
        <v>66</v>
      </c>
      <c r="E26" s="30" t="s">
        <v>67</v>
      </c>
      <c r="F26" s="30" t="s">
        <v>68</v>
      </c>
      <c r="G26" s="30" t="s">
        <v>69</v>
      </c>
      <c r="H26" s="31" t="s">
        <v>70</v>
      </c>
      <c r="I26" s="31" t="s">
        <v>71</v>
      </c>
      <c r="J26" s="31" t="s">
        <v>72</v>
      </c>
      <c r="K26" s="30" t="s">
        <v>73</v>
      </c>
    </row>
    <row r="27" spans="1:14">
      <c r="A27" s="32">
        <v>9.3200001922727491</v>
      </c>
      <c r="B27" s="32">
        <v>2.0158057149964013E-2</v>
      </c>
      <c r="C27" s="32">
        <v>33.33</v>
      </c>
      <c r="D27" s="32">
        <v>9.3200000000004355</v>
      </c>
      <c r="E27" s="32">
        <v>1.3698363807883331E-3</v>
      </c>
      <c r="F27" s="32">
        <v>1.3698363807883331E-3</v>
      </c>
      <c r="G27" s="32">
        <v>9.0084139719074545E-4</v>
      </c>
      <c r="H27" s="33">
        <v>445230.00136976514</v>
      </c>
      <c r="I27" s="33">
        <v>76154.000900794548</v>
      </c>
      <c r="J27" s="33" t="s">
        <v>74</v>
      </c>
      <c r="K27" s="32" t="s">
        <v>75</v>
      </c>
    </row>
    <row r="28" spans="1:14" ht="18.75">
      <c r="A28" s="28" t="s">
        <v>76</v>
      </c>
      <c r="B28" s="2"/>
      <c r="C28" s="2"/>
      <c r="D28" s="2"/>
      <c r="E28" s="2"/>
      <c r="F28" s="2"/>
      <c r="G28" s="2"/>
      <c r="H28" s="29"/>
      <c r="I28" s="29"/>
      <c r="J28" s="34"/>
      <c r="K28" s="35"/>
    </row>
    <row r="29" spans="1:14">
      <c r="A29" s="30" t="s">
        <v>63</v>
      </c>
      <c r="B29" s="30" t="s">
        <v>64</v>
      </c>
      <c r="C29" s="30" t="s">
        <v>65</v>
      </c>
      <c r="D29" s="30" t="s">
        <v>66</v>
      </c>
      <c r="E29" s="30" t="s">
        <v>67</v>
      </c>
      <c r="F29" s="30" t="s">
        <v>68</v>
      </c>
      <c r="G29" s="30" t="s">
        <v>69</v>
      </c>
      <c r="H29" s="31" t="s">
        <v>70</v>
      </c>
      <c r="I29" s="31" t="s">
        <v>71</v>
      </c>
      <c r="J29" s="31" t="s">
        <v>72</v>
      </c>
      <c r="K29" s="30" t="s">
        <v>73</v>
      </c>
    </row>
    <row r="30" spans="1:14">
      <c r="A30" s="32">
        <v>1188</v>
      </c>
      <c r="B30" s="32">
        <v>0</v>
      </c>
      <c r="C30" s="32">
        <v>0</v>
      </c>
      <c r="D30" s="32">
        <v>1187.9765979417691</v>
      </c>
      <c r="E30" s="32">
        <v>-1.7799236261480937</v>
      </c>
      <c r="F30" s="32">
        <v>-1.7799236261480937</v>
      </c>
      <c r="G30" s="32">
        <v>-1.3757172348138638</v>
      </c>
      <c r="H30" s="33">
        <v>445228.22016894101</v>
      </c>
      <c r="I30" s="33">
        <v>76152.624354311076</v>
      </c>
      <c r="J30" s="33" t="s">
        <v>77</v>
      </c>
      <c r="K30" s="32" t="s">
        <v>78</v>
      </c>
    </row>
    <row r="31" spans="1:14" ht="18.75">
      <c r="A31" s="28" t="s">
        <v>79</v>
      </c>
      <c r="B31" s="2"/>
      <c r="C31" s="2"/>
      <c r="D31" s="2"/>
      <c r="E31" s="2"/>
      <c r="F31" s="36"/>
      <c r="G31" s="37" t="s">
        <v>80</v>
      </c>
      <c r="H31" s="48"/>
      <c r="I31" s="50"/>
      <c r="J31" s="38"/>
      <c r="K31" s="35"/>
      <c r="N31" s="24"/>
    </row>
    <row r="32" spans="1:14">
      <c r="A32" s="30" t="s">
        <v>63</v>
      </c>
      <c r="B32" s="30" t="s">
        <v>64</v>
      </c>
      <c r="C32" s="30" t="s">
        <v>65</v>
      </c>
      <c r="D32" s="30" t="s">
        <v>66</v>
      </c>
      <c r="E32" s="30" t="s">
        <v>67</v>
      </c>
      <c r="F32" s="30" t="s">
        <v>68</v>
      </c>
      <c r="G32" s="30" t="s">
        <v>69</v>
      </c>
      <c r="H32" s="31" t="s">
        <v>70</v>
      </c>
      <c r="I32" s="31" t="s">
        <v>71</v>
      </c>
      <c r="J32" s="31" t="s">
        <v>72</v>
      </c>
      <c r="K32" s="30" t="s">
        <v>73</v>
      </c>
    </row>
    <row r="33" spans="1:14">
      <c r="A33" s="32"/>
      <c r="B33" s="32"/>
      <c r="C33" s="32"/>
      <c r="D33" s="32"/>
      <c r="E33" s="32"/>
      <c r="F33" s="32"/>
      <c r="G33" s="32"/>
      <c r="H33" s="33"/>
      <c r="I33" s="33"/>
      <c r="J33" s="33"/>
      <c r="K33" s="32"/>
      <c r="N33" s="24"/>
    </row>
    <row r="34" spans="1:14" ht="18.75">
      <c r="A34" s="19" t="s">
        <v>81</v>
      </c>
      <c r="B34" s="12"/>
      <c r="C34" s="12"/>
      <c r="D34" s="12"/>
      <c r="E34" s="12"/>
      <c r="F34" s="29"/>
      <c r="G34" s="12"/>
      <c r="H34" s="12"/>
      <c r="I34" s="12"/>
      <c r="J34" s="12"/>
      <c r="K34" s="12"/>
    </row>
    <row r="35" spans="1:14">
      <c r="A35" s="76" t="s">
        <v>93</v>
      </c>
      <c r="B35" s="77"/>
      <c r="C35" s="77"/>
      <c r="D35" s="77"/>
      <c r="E35" s="77"/>
      <c r="F35" s="77"/>
      <c r="G35" s="77"/>
      <c r="H35" s="77"/>
      <c r="I35" s="77"/>
      <c r="J35" s="77"/>
      <c r="K35" s="78"/>
    </row>
    <row r="36" spans="1:14">
      <c r="A36" s="79"/>
      <c r="B36" s="80"/>
      <c r="C36" s="80"/>
      <c r="D36" s="80"/>
      <c r="E36" s="80"/>
      <c r="F36" s="80"/>
      <c r="G36" s="80"/>
      <c r="H36" s="80"/>
      <c r="I36" s="80"/>
      <c r="J36" s="80"/>
      <c r="K36" s="81"/>
    </row>
    <row r="37" spans="1:14">
      <c r="A37" s="82"/>
      <c r="B37" s="83"/>
      <c r="C37" s="83"/>
      <c r="D37" s="83"/>
      <c r="E37" s="83"/>
      <c r="F37" s="83"/>
      <c r="G37" s="83"/>
      <c r="H37" s="83"/>
      <c r="I37" s="83"/>
      <c r="J37" s="83"/>
      <c r="K37" s="84"/>
    </row>
    <row r="38" spans="1:14" ht="18.75">
      <c r="A38" s="19" t="s">
        <v>82</v>
      </c>
      <c r="F38" s="39" t="s">
        <v>83</v>
      </c>
      <c r="J38" s="40" t="s">
        <v>22</v>
      </c>
      <c r="K38" s="41"/>
    </row>
    <row r="39" spans="1:14">
      <c r="A39" s="76"/>
      <c r="B39" s="77"/>
      <c r="C39" s="77"/>
      <c r="D39" s="77"/>
      <c r="E39" s="77"/>
      <c r="F39" s="77"/>
      <c r="G39" s="77"/>
      <c r="H39" s="77"/>
      <c r="I39" s="77"/>
      <c r="J39" s="77"/>
      <c r="K39" s="78"/>
    </row>
    <row r="40" spans="1:14">
      <c r="A40" s="82"/>
      <c r="B40" s="83"/>
      <c r="C40" s="83"/>
      <c r="D40" s="83"/>
      <c r="E40" s="83"/>
      <c r="F40" s="83"/>
      <c r="G40" s="83"/>
      <c r="H40" s="83"/>
      <c r="I40" s="83"/>
      <c r="J40" s="83"/>
      <c r="K40" s="84"/>
    </row>
    <row r="41" spans="1:14" ht="18.75">
      <c r="A41" s="42" t="s">
        <v>84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spans="1:14">
      <c r="A42" s="70" t="s">
        <v>85</v>
      </c>
      <c r="B42" s="75"/>
      <c r="C42" s="75"/>
      <c r="D42" s="75"/>
      <c r="E42" s="71"/>
      <c r="F42" s="43"/>
      <c r="G42" s="14" t="s">
        <v>85</v>
      </c>
      <c r="H42" s="44"/>
      <c r="I42" s="44"/>
      <c r="J42" s="44"/>
      <c r="K42" s="15"/>
    </row>
    <row r="43" spans="1:14">
      <c r="A43" s="51" t="s">
        <v>86</v>
      </c>
      <c r="B43" s="52"/>
      <c r="C43" s="63"/>
      <c r="D43" s="64"/>
      <c r="E43" s="65"/>
      <c r="F43" s="45"/>
      <c r="G43" s="46" t="s">
        <v>87</v>
      </c>
      <c r="H43" s="27"/>
      <c r="I43" s="48"/>
      <c r="J43" s="49"/>
      <c r="K43" s="50"/>
    </row>
    <row r="44" spans="1:14">
      <c r="A44" s="51" t="s">
        <v>88</v>
      </c>
      <c r="B44" s="52"/>
      <c r="C44" s="48" t="s">
        <v>94</v>
      </c>
      <c r="D44" s="49"/>
      <c r="E44" s="50"/>
      <c r="F44" s="45"/>
      <c r="G44" s="51" t="s">
        <v>88</v>
      </c>
      <c r="H44" s="52"/>
      <c r="I44" s="48" t="s">
        <v>96</v>
      </c>
      <c r="J44" s="49"/>
      <c r="K44" s="50"/>
    </row>
    <row r="45" spans="1:14">
      <c r="A45" s="51" t="s">
        <v>89</v>
      </c>
      <c r="B45" s="52"/>
      <c r="C45" s="48" t="s">
        <v>95</v>
      </c>
      <c r="D45" s="49"/>
      <c r="E45" s="50"/>
      <c r="F45" s="45"/>
      <c r="G45" s="51" t="s">
        <v>89</v>
      </c>
      <c r="H45" s="52"/>
      <c r="I45" s="48" t="s">
        <v>95</v>
      </c>
      <c r="J45" s="49"/>
      <c r="K45" s="50"/>
    </row>
    <row r="46" spans="1:14">
      <c r="A46" s="51" t="s">
        <v>90</v>
      </c>
      <c r="B46" s="52"/>
      <c r="C46" s="67">
        <v>43105</v>
      </c>
      <c r="D46" s="68"/>
      <c r="E46" s="69"/>
      <c r="F46" s="45"/>
      <c r="G46" s="51" t="s">
        <v>90</v>
      </c>
      <c r="H46" s="52"/>
      <c r="I46" s="67">
        <v>43105</v>
      </c>
      <c r="J46" s="68"/>
      <c r="K46" s="69"/>
    </row>
    <row r="47" spans="1:14">
      <c r="A47" s="47"/>
      <c r="B47" s="47"/>
      <c r="C47" s="47"/>
      <c r="D47" s="47"/>
      <c r="E47" s="47"/>
      <c r="F47" s="45"/>
      <c r="G47" s="47"/>
      <c r="H47" s="47"/>
      <c r="I47" s="47"/>
      <c r="J47" s="47"/>
      <c r="K47" s="47"/>
    </row>
    <row r="48" spans="1:14">
      <c r="A48" s="70" t="s">
        <v>91</v>
      </c>
      <c r="B48" s="75"/>
      <c r="C48" s="75"/>
      <c r="D48" s="75"/>
      <c r="E48" s="71"/>
      <c r="F48" s="45"/>
      <c r="G48" s="2"/>
      <c r="H48" s="2"/>
      <c r="I48" s="2"/>
      <c r="J48" s="2"/>
      <c r="K48" s="2"/>
      <c r="N48" s="24"/>
    </row>
    <row r="49" spans="1:11">
      <c r="A49" s="51" t="s">
        <v>92</v>
      </c>
      <c r="B49" s="52"/>
      <c r="C49" s="48"/>
      <c r="D49" s="49"/>
      <c r="E49" s="50"/>
      <c r="F49" s="45"/>
      <c r="G49" s="2"/>
      <c r="H49" s="2"/>
      <c r="I49" s="2"/>
      <c r="J49" s="2"/>
      <c r="K49" s="2"/>
    </row>
    <row r="50" spans="1:11">
      <c r="A50" s="51" t="s">
        <v>88</v>
      </c>
      <c r="B50" s="52"/>
      <c r="C50" s="48"/>
      <c r="D50" s="49"/>
      <c r="E50" s="50"/>
      <c r="F50" s="45"/>
      <c r="G50" s="2"/>
      <c r="H50" s="2"/>
      <c r="I50" s="2"/>
      <c r="J50" s="2"/>
      <c r="K50" s="2"/>
    </row>
    <row r="51" spans="1:11">
      <c r="A51" s="51" t="s">
        <v>89</v>
      </c>
      <c r="B51" s="52"/>
      <c r="C51" s="48"/>
      <c r="D51" s="49"/>
      <c r="E51" s="50"/>
      <c r="F51" s="45"/>
      <c r="G51" s="2"/>
      <c r="H51" s="2"/>
      <c r="I51" s="2"/>
      <c r="J51" s="2"/>
      <c r="K51" s="2"/>
    </row>
    <row r="52" spans="1:11" ht="15.75" thickBot="1">
      <c r="A52" s="51" t="s">
        <v>90</v>
      </c>
      <c r="B52" s="52"/>
      <c r="C52" s="63"/>
      <c r="D52" s="64"/>
      <c r="E52" s="65"/>
      <c r="F52" s="45"/>
      <c r="G52" s="2"/>
      <c r="H52" s="2"/>
      <c r="I52" s="2"/>
      <c r="J52" s="2"/>
      <c r="K52" s="2"/>
    </row>
  </sheetData>
  <mergeCells count="97">
    <mergeCell ref="E12:F12"/>
    <mergeCell ref="H22:I22"/>
    <mergeCell ref="C12:D12"/>
    <mergeCell ref="A9:B10"/>
    <mergeCell ref="G7:K7"/>
    <mergeCell ref="A39:K40"/>
    <mergeCell ref="A11:B12"/>
    <mergeCell ref="I43:K43"/>
    <mergeCell ref="A43:B43"/>
    <mergeCell ref="D20:E20"/>
    <mergeCell ref="C50:E50"/>
    <mergeCell ref="B7:E7"/>
    <mergeCell ref="A42:E42"/>
    <mergeCell ref="J24:K24"/>
    <mergeCell ref="C51:E51"/>
    <mergeCell ref="J22:K22"/>
    <mergeCell ref="D22:E22"/>
    <mergeCell ref="G6:H6"/>
    <mergeCell ref="H10:I10"/>
    <mergeCell ref="C15:F15"/>
    <mergeCell ref="A35:K37"/>
    <mergeCell ref="J20:K20"/>
    <mergeCell ref="C52:E52"/>
    <mergeCell ref="G45:H45"/>
    <mergeCell ref="F19:G19"/>
    <mergeCell ref="H9:I9"/>
    <mergeCell ref="A44:B44"/>
    <mergeCell ref="J9:K9"/>
    <mergeCell ref="A24:C24"/>
    <mergeCell ref="E13:F13"/>
    <mergeCell ref="F24:G24"/>
    <mergeCell ref="F20:G20"/>
    <mergeCell ref="A51:B51"/>
    <mergeCell ref="A49:B49"/>
    <mergeCell ref="C44:E44"/>
    <mergeCell ref="J5:K5"/>
    <mergeCell ref="E9:F9"/>
    <mergeCell ref="A22:C22"/>
    <mergeCell ref="E11:F11"/>
    <mergeCell ref="D21:E21"/>
    <mergeCell ref="J13:K13"/>
    <mergeCell ref="A20:C20"/>
    <mergeCell ref="A17:B17"/>
    <mergeCell ref="G5:H5"/>
    <mergeCell ref="A48:E48"/>
    <mergeCell ref="A16:B16"/>
    <mergeCell ref="D23:E23"/>
    <mergeCell ref="A13:B13"/>
    <mergeCell ref="J14:K14"/>
    <mergeCell ref="A21:C21"/>
    <mergeCell ref="C14:F14"/>
    <mergeCell ref="A14:B14"/>
    <mergeCell ref="J16:K16"/>
    <mergeCell ref="A23:C23"/>
    <mergeCell ref="C46:E46"/>
    <mergeCell ref="A15:B15"/>
    <mergeCell ref="I45:K45"/>
    <mergeCell ref="C13:D13"/>
    <mergeCell ref="J19:K19"/>
    <mergeCell ref="I46:K46"/>
    <mergeCell ref="H31:I31"/>
    <mergeCell ref="F22:G22"/>
    <mergeCell ref="C17:F17"/>
    <mergeCell ref="A19:C19"/>
    <mergeCell ref="A50:B50"/>
    <mergeCell ref="D24:E24"/>
    <mergeCell ref="A52:B52"/>
    <mergeCell ref="A46:B46"/>
    <mergeCell ref="C16:F16"/>
    <mergeCell ref="J10:K10"/>
    <mergeCell ref="A45:B45"/>
    <mergeCell ref="J21:K21"/>
    <mergeCell ref="G4:K4"/>
    <mergeCell ref="H20:I20"/>
    <mergeCell ref="C43:E43"/>
    <mergeCell ref="J11:K11"/>
    <mergeCell ref="E10:F10"/>
    <mergeCell ref="B5:E5"/>
    <mergeCell ref="J23:K23"/>
    <mergeCell ref="C10:D10"/>
    <mergeCell ref="H19:I19"/>
    <mergeCell ref="F21:G21"/>
    <mergeCell ref="B6:E6"/>
    <mergeCell ref="C11:D11"/>
    <mergeCell ref="C9:D9"/>
    <mergeCell ref="J6:K6"/>
    <mergeCell ref="H23:I23"/>
    <mergeCell ref="I44:K44"/>
    <mergeCell ref="C45:E45"/>
    <mergeCell ref="G46:H46"/>
    <mergeCell ref="J17:K17"/>
    <mergeCell ref="F23:G23"/>
    <mergeCell ref="H21:I21"/>
    <mergeCell ref="G44:H44"/>
    <mergeCell ref="D19:E19"/>
    <mergeCell ref="C49:E49"/>
    <mergeCell ref="J15:K15"/>
  </mergeCells>
  <dataValidations count="2">
    <dataValidation type="list" allowBlank="1" showInputMessage="1" showErrorMessage="1" sqref="I24">
      <formula1>L4:L6</formula1>
    </dataValidation>
    <dataValidation type="list" allowBlank="1" showInputMessage="1" showErrorMessage="1" sqref="J38">
      <formula1>L7:L10</formula1>
    </dataValidation>
  </dataValidations>
  <printOptions horizontalCentered="1" verticalCentered="1"/>
  <pageMargins left="0" right="0" top="0" bottom="0" header="0" footer="0"/>
  <pageSetup paperSize="9" scale="82" orientation="portrait" r:id="rId1"/>
  <headerFooter>
    <oddFooter>&amp;C&amp;1#&amp;"Calibri"&amp;10 Schlumberger-Private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5"/>
  <sheetViews>
    <sheetView showGridLines="0" tabSelected="1" zoomScaleNormal="100" workbookViewId="0">
      <pane ySplit="23" topLeftCell="A24" activePane="bottomLeft" state="frozen"/>
      <selection pane="bottomLeft" activeCell="C2" sqref="C2"/>
    </sheetView>
  </sheetViews>
  <sheetFormatPr defaultColWidth="14.7109375" defaultRowHeight="14.25"/>
  <cols>
    <col min="1" max="2" width="14.28515625" style="101" customWidth="1"/>
    <col min="3" max="3" width="14.5703125" style="101" customWidth="1"/>
    <col min="4" max="4" width="15" style="101" customWidth="1"/>
    <col min="5" max="5" width="14.140625" style="101" customWidth="1"/>
    <col min="6" max="6" width="14.85546875" style="101" customWidth="1"/>
    <col min="7" max="7" width="14.7109375" style="101" customWidth="1"/>
    <col min="8" max="8" width="15" style="101" customWidth="1"/>
    <col min="9" max="9" width="14" style="101" customWidth="1"/>
    <col min="10" max="12" width="14.28515625" style="101" customWidth="1"/>
    <col min="13" max="13" width="14" style="101" customWidth="1"/>
    <col min="14" max="14" width="15.28515625" style="101" customWidth="1"/>
    <col min="15" max="15" width="14.5703125" style="101" customWidth="1"/>
    <col min="16" max="16" width="14" style="101" customWidth="1"/>
    <col min="17" max="17" width="14.28515625" style="101" customWidth="1"/>
    <col min="18" max="16384" width="14.7109375" style="101"/>
  </cols>
  <sheetData>
    <row r="1" spans="1:12" ht="45" customHeight="1"/>
    <row r="2" spans="1:12" ht="45" customHeight="1">
      <c r="A2" s="141"/>
      <c r="B2" s="141"/>
      <c r="C2" s="142" t="s">
        <v>195</v>
      </c>
      <c r="D2" s="142"/>
      <c r="E2" s="143"/>
      <c r="F2" s="143"/>
      <c r="G2" s="143"/>
      <c r="H2" s="143"/>
      <c r="I2" s="142"/>
      <c r="J2" s="142"/>
      <c r="K2" s="141"/>
      <c r="L2" s="141"/>
    </row>
    <row r="3" spans="1:12" s="137" customFormat="1" ht="20.25">
      <c r="A3" s="138"/>
      <c r="B3" s="138"/>
      <c r="C3" s="139" t="s">
        <v>194</v>
      </c>
      <c r="D3" s="139"/>
      <c r="E3" s="139"/>
      <c r="F3" s="140"/>
      <c r="G3" s="140"/>
      <c r="H3" s="139"/>
      <c r="I3" s="139"/>
      <c r="J3" s="139"/>
      <c r="K3" s="138"/>
      <c r="L3" s="138"/>
    </row>
    <row r="4" spans="1:12" s="136" customFormat="1" ht="13.5" customHeight="1"/>
    <row r="5" spans="1:12" s="111" customFormat="1" ht="14.1" customHeight="1">
      <c r="A5" s="125" t="s">
        <v>6</v>
      </c>
      <c r="B5" s="125"/>
      <c r="C5" s="135" t="s">
        <v>193</v>
      </c>
      <c r="D5" s="134"/>
      <c r="E5" s="134"/>
      <c r="F5" s="134"/>
      <c r="G5" s="125" t="s">
        <v>192</v>
      </c>
      <c r="H5" s="132"/>
      <c r="I5" s="124" t="s">
        <v>191</v>
      </c>
      <c r="J5" s="133"/>
      <c r="K5" s="133"/>
      <c r="L5" s="133"/>
    </row>
    <row r="6" spans="1:12" s="111" customFormat="1" ht="14.1" customHeight="1">
      <c r="A6" s="125" t="s">
        <v>2</v>
      </c>
      <c r="B6" s="125"/>
      <c r="C6" s="130" t="s">
        <v>3</v>
      </c>
      <c r="D6" s="129"/>
      <c r="E6" s="129"/>
      <c r="F6" s="129"/>
      <c r="G6" s="125" t="s">
        <v>190</v>
      </c>
      <c r="H6" s="132"/>
      <c r="I6" s="124" t="s">
        <v>51</v>
      </c>
      <c r="J6" s="133"/>
      <c r="K6" s="133"/>
      <c r="L6" s="133"/>
    </row>
    <row r="7" spans="1:12" s="111" customFormat="1" ht="14.1" customHeight="1">
      <c r="A7" s="125" t="s">
        <v>8</v>
      </c>
      <c r="B7" s="125"/>
      <c r="C7" s="130" t="s">
        <v>9</v>
      </c>
      <c r="D7" s="129"/>
      <c r="E7" s="129"/>
      <c r="F7" s="129"/>
      <c r="G7" s="125" t="s">
        <v>46</v>
      </c>
      <c r="H7" s="132"/>
      <c r="I7" s="124" t="s">
        <v>47</v>
      </c>
      <c r="J7" s="133"/>
      <c r="K7" s="133"/>
      <c r="L7" s="133"/>
    </row>
    <row r="8" spans="1:12" s="111" customFormat="1" ht="14.1" customHeight="1">
      <c r="A8" s="125" t="s">
        <v>189</v>
      </c>
      <c r="B8" s="125"/>
      <c r="C8" s="130" t="s">
        <v>188</v>
      </c>
      <c r="D8" s="129"/>
      <c r="E8" s="129"/>
      <c r="F8" s="129"/>
      <c r="G8" s="125" t="s">
        <v>40</v>
      </c>
      <c r="H8" s="132"/>
      <c r="I8" s="124" t="s">
        <v>187</v>
      </c>
      <c r="J8" s="133"/>
      <c r="K8" s="133"/>
      <c r="L8" s="133"/>
    </row>
    <row r="9" spans="1:12" s="111" customFormat="1" ht="14.1" customHeight="1">
      <c r="A9" s="125" t="s">
        <v>186</v>
      </c>
      <c r="B9" s="125"/>
      <c r="C9" s="130" t="s">
        <v>11</v>
      </c>
      <c r="D9" s="129"/>
      <c r="E9" s="129"/>
      <c r="F9" s="129"/>
      <c r="G9" s="125" t="s">
        <v>44</v>
      </c>
      <c r="H9" s="132"/>
      <c r="I9" s="124" t="s">
        <v>45</v>
      </c>
      <c r="J9" s="133"/>
      <c r="K9" s="133"/>
      <c r="L9" s="133"/>
    </row>
    <row r="10" spans="1:12" s="111" customFormat="1" ht="14.1" customHeight="1">
      <c r="A10" s="125" t="s">
        <v>12</v>
      </c>
      <c r="B10" s="125"/>
      <c r="C10" s="130" t="s">
        <v>11</v>
      </c>
      <c r="D10" s="129"/>
      <c r="E10" s="129"/>
      <c r="F10" s="129"/>
      <c r="G10" s="125" t="s">
        <v>185</v>
      </c>
      <c r="H10" s="132"/>
      <c r="I10" s="124" t="s">
        <v>49</v>
      </c>
      <c r="J10" s="133"/>
      <c r="K10" s="133"/>
      <c r="L10" s="133"/>
    </row>
    <row r="11" spans="1:12" s="111" customFormat="1" ht="14.1" customHeight="1">
      <c r="A11" s="125" t="s">
        <v>184</v>
      </c>
      <c r="B11" s="125"/>
      <c r="C11" s="130" t="s">
        <v>183</v>
      </c>
      <c r="D11" s="129"/>
      <c r="E11" s="129"/>
      <c r="F11" s="129"/>
      <c r="G11" s="125" t="s">
        <v>34</v>
      </c>
      <c r="H11" s="132"/>
      <c r="I11" s="124" t="s">
        <v>35</v>
      </c>
      <c r="J11" s="133"/>
      <c r="K11" s="133"/>
      <c r="L11" s="133"/>
    </row>
    <row r="12" spans="1:12" s="111" customFormat="1" ht="14.1" customHeight="1">
      <c r="A12" s="125" t="s">
        <v>182</v>
      </c>
      <c r="B12" s="125"/>
      <c r="C12" s="124" t="s">
        <v>17</v>
      </c>
      <c r="D12" s="132"/>
      <c r="E12" s="132"/>
      <c r="F12" s="132"/>
      <c r="G12" s="125" t="s">
        <v>181</v>
      </c>
      <c r="H12" s="125"/>
      <c r="I12" s="124" t="s">
        <v>180</v>
      </c>
      <c r="J12" s="124"/>
      <c r="K12" s="124"/>
      <c r="L12" s="124"/>
    </row>
    <row r="13" spans="1:12" s="111" customFormat="1" ht="14.1" customHeight="1">
      <c r="A13" s="125" t="s">
        <v>25</v>
      </c>
      <c r="B13" s="125"/>
      <c r="C13" s="130" t="s">
        <v>167</v>
      </c>
      <c r="D13" s="129"/>
      <c r="E13" s="129"/>
      <c r="F13" s="129"/>
      <c r="G13" s="125" t="s">
        <v>179</v>
      </c>
      <c r="H13" s="125"/>
      <c r="I13" s="124" t="s">
        <v>178</v>
      </c>
      <c r="J13" s="124"/>
      <c r="K13" s="124"/>
      <c r="L13" s="124"/>
    </row>
    <row r="14" spans="1:12" s="111" customFormat="1" ht="14.1" customHeight="1">
      <c r="A14" s="125" t="s">
        <v>177</v>
      </c>
      <c r="B14" s="125"/>
      <c r="C14" s="124" t="s">
        <v>176</v>
      </c>
      <c r="D14" s="132"/>
      <c r="E14" s="132"/>
      <c r="F14" s="132"/>
      <c r="G14" s="125" t="s">
        <v>175</v>
      </c>
      <c r="H14" s="125"/>
      <c r="I14" s="124" t="s">
        <v>174</v>
      </c>
      <c r="J14" s="124"/>
      <c r="K14" s="124"/>
      <c r="L14" s="124"/>
    </row>
    <row r="15" spans="1:12" s="111" customFormat="1" ht="14.1" customHeight="1">
      <c r="A15" s="125" t="s">
        <v>173</v>
      </c>
      <c r="B15" s="125"/>
      <c r="C15" s="130" t="s">
        <v>37</v>
      </c>
      <c r="D15" s="129"/>
      <c r="E15" s="129"/>
      <c r="F15" s="129"/>
      <c r="G15" s="125" t="s">
        <v>172</v>
      </c>
      <c r="H15" s="125"/>
      <c r="I15" s="124" t="s">
        <v>171</v>
      </c>
      <c r="J15" s="124"/>
      <c r="K15" s="124"/>
      <c r="L15" s="124"/>
    </row>
    <row r="16" spans="1:12" s="111" customFormat="1" ht="14.1" customHeight="1">
      <c r="A16" s="125" t="s">
        <v>170</v>
      </c>
      <c r="B16" s="125"/>
      <c r="C16" s="130" t="s">
        <v>169</v>
      </c>
      <c r="D16" s="129"/>
      <c r="E16" s="129"/>
      <c r="F16" s="129"/>
      <c r="G16" s="125" t="s">
        <v>168</v>
      </c>
      <c r="H16" s="125"/>
      <c r="I16" s="131" t="s">
        <v>167</v>
      </c>
      <c r="J16" s="131"/>
      <c r="K16" s="131"/>
      <c r="L16" s="131"/>
    </row>
    <row r="17" spans="1:14" s="111" customFormat="1" ht="14.1" customHeight="1">
      <c r="A17" s="125" t="s">
        <v>166</v>
      </c>
      <c r="B17" s="125"/>
      <c r="C17" s="130" t="s">
        <v>165</v>
      </c>
      <c r="D17" s="129"/>
      <c r="E17" s="129"/>
      <c r="F17" s="129"/>
      <c r="G17" s="125" t="s">
        <v>164</v>
      </c>
      <c r="H17" s="125"/>
      <c r="I17" s="124" t="s">
        <v>31</v>
      </c>
      <c r="J17" s="124"/>
      <c r="K17" s="124"/>
      <c r="L17" s="124"/>
    </row>
    <row r="18" spans="1:14" s="111" customFormat="1" ht="14.1" customHeight="1">
      <c r="A18" s="125" t="s">
        <v>163</v>
      </c>
      <c r="B18" s="125"/>
      <c r="C18" s="130" t="s">
        <v>159</v>
      </c>
      <c r="D18" s="129"/>
      <c r="E18" s="129"/>
      <c r="F18" s="129"/>
      <c r="G18" s="125" t="s">
        <v>162</v>
      </c>
      <c r="H18" s="125"/>
      <c r="I18" s="124" t="s">
        <v>29</v>
      </c>
      <c r="J18" s="124"/>
      <c r="K18" s="124"/>
      <c r="L18" s="124"/>
    </row>
    <row r="19" spans="1:14" s="111" customFormat="1" ht="12.75">
      <c r="A19" s="125" t="s">
        <v>161</v>
      </c>
      <c r="B19" s="125"/>
      <c r="C19" s="130">
        <v>0.99994799000000001</v>
      </c>
      <c r="D19" s="129"/>
      <c r="E19" s="129"/>
      <c r="F19" s="129"/>
      <c r="G19" s="125" t="s">
        <v>160</v>
      </c>
      <c r="H19" s="125"/>
      <c r="I19" s="124" t="s">
        <v>159</v>
      </c>
      <c r="J19" s="124"/>
      <c r="K19" s="124"/>
      <c r="L19" s="124"/>
    </row>
    <row r="20" spans="1:14" s="111" customFormat="1" ht="25.5" customHeight="1">
      <c r="A20" s="125" t="s">
        <v>158</v>
      </c>
      <c r="B20" s="125"/>
      <c r="C20" s="127" t="s">
        <v>157</v>
      </c>
      <c r="D20" s="126"/>
      <c r="E20" s="126"/>
      <c r="F20" s="126"/>
      <c r="G20" s="125" t="s">
        <v>156</v>
      </c>
      <c r="H20" s="125"/>
      <c r="I20" s="124" t="s">
        <v>43</v>
      </c>
      <c r="J20" s="124"/>
      <c r="K20" s="124"/>
      <c r="L20" s="124"/>
    </row>
    <row r="21" spans="1:14" s="111" customFormat="1" ht="12.75">
      <c r="A21" s="128"/>
      <c r="B21" s="128"/>
      <c r="C21" s="127"/>
      <c r="D21" s="126"/>
      <c r="E21" s="126"/>
      <c r="F21" s="126"/>
      <c r="G21" s="125" t="s">
        <v>155</v>
      </c>
      <c r="H21" s="125"/>
      <c r="I21" s="124" t="s">
        <v>154</v>
      </c>
      <c r="J21" s="124"/>
      <c r="K21" s="124"/>
      <c r="L21" s="124"/>
    </row>
    <row r="22" spans="1:14" s="111" customFormat="1" ht="14.1" customHeight="1">
      <c r="A22" s="123"/>
      <c r="B22" s="123"/>
      <c r="C22" s="123"/>
      <c r="D22" s="122"/>
      <c r="E22" s="122"/>
      <c r="F22" s="122"/>
      <c r="J22" s="121"/>
      <c r="K22" s="121"/>
      <c r="L22" s="121"/>
    </row>
    <row r="23" spans="1:14" s="107" customFormat="1" ht="25.5">
      <c r="A23" s="120" t="s">
        <v>153</v>
      </c>
      <c r="B23" s="109" t="s">
        <v>152</v>
      </c>
      <c r="C23" s="109" t="s">
        <v>151</v>
      </c>
      <c r="D23" s="109" t="s">
        <v>150</v>
      </c>
      <c r="E23" s="109" t="s">
        <v>149</v>
      </c>
      <c r="F23" s="109" t="s">
        <v>148</v>
      </c>
      <c r="G23" s="109" t="s">
        <v>147</v>
      </c>
      <c r="H23" s="109" t="s">
        <v>146</v>
      </c>
      <c r="I23" s="109" t="s">
        <v>145</v>
      </c>
      <c r="J23" s="109" t="s">
        <v>144</v>
      </c>
      <c r="K23" s="109" t="s">
        <v>143</v>
      </c>
      <c r="L23" s="109" t="s">
        <v>142</v>
      </c>
      <c r="M23" s="109" t="s">
        <v>141</v>
      </c>
      <c r="N23" s="109" t="s">
        <v>140</v>
      </c>
    </row>
    <row r="24" spans="1:14" s="102" customFormat="1" ht="12.75">
      <c r="A24" s="116" t="s">
        <v>139</v>
      </c>
      <c r="B24" s="115">
        <v>0</v>
      </c>
      <c r="C24" s="115">
        <v>0</v>
      </c>
      <c r="D24" s="115">
        <v>0</v>
      </c>
      <c r="E24" s="115">
        <v>0</v>
      </c>
      <c r="F24" s="115">
        <v>-8.42</v>
      </c>
      <c r="G24" s="115">
        <v>0</v>
      </c>
      <c r="H24" s="115">
        <v>0</v>
      </c>
      <c r="I24" s="115">
        <v>0</v>
      </c>
      <c r="J24" s="115" t="s">
        <v>26</v>
      </c>
      <c r="K24" s="115">
        <v>445230</v>
      </c>
      <c r="L24" s="115">
        <v>76154</v>
      </c>
      <c r="M24" s="115" t="s">
        <v>125</v>
      </c>
      <c r="N24" s="115" t="s">
        <v>132</v>
      </c>
    </row>
    <row r="25" spans="1:14" s="117" customFormat="1" ht="12.75">
      <c r="A25" s="119" t="s">
        <v>3</v>
      </c>
      <c r="B25" s="118">
        <v>120.21</v>
      </c>
      <c r="C25" s="118">
        <v>0.26</v>
      </c>
      <c r="D25" s="118">
        <v>33.33</v>
      </c>
      <c r="E25" s="118">
        <v>120.209587436948</v>
      </c>
      <c r="F25" s="118">
        <v>111.789587436948</v>
      </c>
      <c r="G25" s="118">
        <v>0.227885822475</v>
      </c>
      <c r="H25" s="118">
        <v>0.227885822475</v>
      </c>
      <c r="I25" s="118">
        <v>0.14986387104099999</v>
      </c>
      <c r="J25" s="118">
        <v>6.4886448715000003E-2</v>
      </c>
      <c r="K25" s="118">
        <v>445230.22787397099</v>
      </c>
      <c r="L25" s="118">
        <v>76154.149856077202</v>
      </c>
      <c r="M25" s="118" t="s">
        <v>127</v>
      </c>
      <c r="N25" s="118" t="s">
        <v>132</v>
      </c>
    </row>
    <row r="26" spans="1:14" s="102" customFormat="1" ht="12.75">
      <c r="A26" s="116" t="s">
        <v>3</v>
      </c>
      <c r="B26" s="115">
        <v>148.06</v>
      </c>
      <c r="C26" s="115">
        <v>0.13</v>
      </c>
      <c r="D26" s="115">
        <v>83.37</v>
      </c>
      <c r="E26" s="115">
        <v>148.05943726586801</v>
      </c>
      <c r="F26" s="115">
        <v>139.639437265868</v>
      </c>
      <c r="G26" s="115">
        <v>0.28432974750099999</v>
      </c>
      <c r="H26" s="115">
        <v>0.28432974750099999</v>
      </c>
      <c r="I26" s="115">
        <v>0.21596753073399999</v>
      </c>
      <c r="J26" s="115">
        <v>0.218338628901</v>
      </c>
      <c r="K26" s="115">
        <v>445230.284314961</v>
      </c>
      <c r="L26" s="115">
        <v>76154.2159562991</v>
      </c>
      <c r="M26" s="115" t="s">
        <v>127</v>
      </c>
      <c r="N26" s="115" t="s">
        <v>134</v>
      </c>
    </row>
    <row r="27" spans="1:14" s="117" customFormat="1" ht="12.75">
      <c r="A27" s="119" t="s">
        <v>3</v>
      </c>
      <c r="B27" s="118">
        <v>185.02</v>
      </c>
      <c r="C27" s="118">
        <v>0.12</v>
      </c>
      <c r="D27" s="118">
        <v>94.73</v>
      </c>
      <c r="E27" s="118">
        <v>185.01934983419</v>
      </c>
      <c r="F27" s="118">
        <v>176.59934983419001</v>
      </c>
      <c r="G27" s="118">
        <v>0.28597926493499998</v>
      </c>
      <c r="H27" s="118">
        <v>0.28597926493499998</v>
      </c>
      <c r="I27" s="118">
        <v>0.29618945824100001</v>
      </c>
      <c r="J27" s="118">
        <v>2.1646991232E-2</v>
      </c>
      <c r="K27" s="118">
        <v>445230.28596439201</v>
      </c>
      <c r="L27" s="118">
        <v>76154.2961740545</v>
      </c>
      <c r="M27" s="118" t="s">
        <v>127</v>
      </c>
      <c r="N27" s="118" t="s">
        <v>134</v>
      </c>
    </row>
    <row r="28" spans="1:14" s="102" customFormat="1" ht="12.75">
      <c r="A28" s="116" t="s">
        <v>3</v>
      </c>
      <c r="B28" s="115">
        <v>212.62</v>
      </c>
      <c r="C28" s="115">
        <v>0.13</v>
      </c>
      <c r="D28" s="115">
        <v>45.62</v>
      </c>
      <c r="E28" s="115">
        <v>212.61929166605199</v>
      </c>
      <c r="F28" s="115">
        <v>204.19929166605201</v>
      </c>
      <c r="G28" s="115">
        <v>0.30549542410500002</v>
      </c>
      <c r="H28" s="115">
        <v>0.30549542410500002</v>
      </c>
      <c r="I28" s="115">
        <v>0.34737229966900002</v>
      </c>
      <c r="J28" s="115">
        <v>0.11335757339200001</v>
      </c>
      <c r="K28" s="115">
        <v>445230.30547953601</v>
      </c>
      <c r="L28" s="115">
        <v>76154.347354234094</v>
      </c>
      <c r="M28" s="115" t="s">
        <v>127</v>
      </c>
      <c r="N28" s="115" t="s">
        <v>138</v>
      </c>
    </row>
    <row r="29" spans="1:14" s="117" customFormat="1" ht="12.75">
      <c r="A29" s="119" t="s">
        <v>3</v>
      </c>
      <c r="B29" s="118">
        <v>241.94</v>
      </c>
      <c r="C29" s="118">
        <v>0.09</v>
      </c>
      <c r="D29" s="118">
        <v>90.54</v>
      </c>
      <c r="E29" s="118">
        <v>241.93924211966799</v>
      </c>
      <c r="F29" s="118">
        <v>233.51924211966801</v>
      </c>
      <c r="G29" s="118">
        <v>0.32854262405099999</v>
      </c>
      <c r="H29" s="118">
        <v>0.32854262405099999</v>
      </c>
      <c r="I29" s="118">
        <v>0.39417239014299998</v>
      </c>
      <c r="J29" s="118">
        <v>9.3947823868999997E-2</v>
      </c>
      <c r="K29" s="118">
        <v>445230.32852553797</v>
      </c>
      <c r="L29" s="118">
        <v>76154.394151890694</v>
      </c>
      <c r="M29" s="118" t="s">
        <v>127</v>
      </c>
      <c r="N29" s="118" t="s">
        <v>138</v>
      </c>
    </row>
    <row r="30" spans="1:14" s="102" customFormat="1" ht="12.75">
      <c r="A30" s="116" t="s">
        <v>3</v>
      </c>
      <c r="B30" s="115">
        <v>269.76</v>
      </c>
      <c r="C30" s="115">
        <v>0.15</v>
      </c>
      <c r="D30" s="115">
        <v>285.77</v>
      </c>
      <c r="E30" s="115">
        <v>269.75921729780401</v>
      </c>
      <c r="F30" s="115">
        <v>261.339217297804</v>
      </c>
      <c r="G30" s="115">
        <v>0.33823378979899998</v>
      </c>
      <c r="H30" s="115">
        <v>0.33823378979899998</v>
      </c>
      <c r="I30" s="115">
        <v>0.38097560764299998</v>
      </c>
      <c r="J30" s="115">
        <v>0.256667412416</v>
      </c>
      <c r="K30" s="115">
        <v>445230.33821620001</v>
      </c>
      <c r="L30" s="115">
        <v>76154.380955794506</v>
      </c>
      <c r="M30" s="115" t="s">
        <v>127</v>
      </c>
      <c r="N30" s="115" t="s">
        <v>138</v>
      </c>
    </row>
    <row r="31" spans="1:14" s="117" customFormat="1" ht="12.75">
      <c r="A31" s="119" t="s">
        <v>3</v>
      </c>
      <c r="B31" s="118">
        <v>297.16000000000003</v>
      </c>
      <c r="C31" s="118">
        <v>0.24</v>
      </c>
      <c r="D31" s="118">
        <v>35.880000000000003</v>
      </c>
      <c r="E31" s="118">
        <v>297.15912309008502</v>
      </c>
      <c r="F31" s="118">
        <v>288.739123090085</v>
      </c>
      <c r="G31" s="118">
        <v>0.39447860247099997</v>
      </c>
      <c r="H31" s="118">
        <v>0.39447860247099997</v>
      </c>
      <c r="I31" s="118">
        <v>0.38009261581300002</v>
      </c>
      <c r="J31" s="118">
        <v>0.35454032816100001</v>
      </c>
      <c r="K31" s="118">
        <v>445230.39445808699</v>
      </c>
      <c r="L31" s="118">
        <v>76154.380072848595</v>
      </c>
      <c r="M31" s="118" t="s">
        <v>127</v>
      </c>
      <c r="N31" s="118" t="s">
        <v>138</v>
      </c>
    </row>
    <row r="32" spans="1:14" s="102" customFormat="1" ht="12.75">
      <c r="A32" s="116" t="s">
        <v>3</v>
      </c>
      <c r="B32" s="115">
        <v>325.89999999999998</v>
      </c>
      <c r="C32" s="115">
        <v>0.28999999999999998</v>
      </c>
      <c r="D32" s="115">
        <v>12.86</v>
      </c>
      <c r="E32" s="115">
        <v>325.89882286594201</v>
      </c>
      <c r="F32" s="115">
        <v>317.47882286594199</v>
      </c>
      <c r="G32" s="115">
        <v>0.51415801157399998</v>
      </c>
      <c r="H32" s="115">
        <v>0.51415801157399998</v>
      </c>
      <c r="I32" s="115">
        <v>0.431559075327</v>
      </c>
      <c r="J32" s="115">
        <v>0.121663021909</v>
      </c>
      <c r="K32" s="115">
        <v>445230.51413127198</v>
      </c>
      <c r="L32" s="115">
        <v>76154.4315366316</v>
      </c>
      <c r="M32" s="115" t="s">
        <v>128</v>
      </c>
      <c r="N32" s="115" t="s">
        <v>138</v>
      </c>
    </row>
    <row r="33" spans="1:14" s="117" customFormat="1" ht="12.75">
      <c r="A33" s="119" t="s">
        <v>3</v>
      </c>
      <c r="B33" s="118">
        <v>354</v>
      </c>
      <c r="C33" s="118">
        <v>0.17</v>
      </c>
      <c r="D33" s="118">
        <v>61.36</v>
      </c>
      <c r="E33" s="118">
        <v>353.99861505361798</v>
      </c>
      <c r="F33" s="118">
        <v>345.57861505361802</v>
      </c>
      <c r="G33" s="118">
        <v>0.60346834831399998</v>
      </c>
      <c r="H33" s="118">
        <v>0.60346834831399998</v>
      </c>
      <c r="I33" s="118">
        <v>0.48397340594499999</v>
      </c>
      <c r="J33" s="118">
        <v>0.23308650202199999</v>
      </c>
      <c r="K33" s="118">
        <v>445230.60343696398</v>
      </c>
      <c r="L33" s="118">
        <v>76154.483948236302</v>
      </c>
      <c r="M33" s="118" t="s">
        <v>128</v>
      </c>
      <c r="N33" s="118" t="s">
        <v>138</v>
      </c>
    </row>
    <row r="34" spans="1:14" s="102" customFormat="1" ht="12.75">
      <c r="A34" s="116" t="s">
        <v>3</v>
      </c>
      <c r="B34" s="115">
        <v>381.34</v>
      </c>
      <c r="C34" s="115">
        <v>0.1</v>
      </c>
      <c r="D34" s="115">
        <v>52.71</v>
      </c>
      <c r="E34" s="115">
        <v>381.33853773061799</v>
      </c>
      <c r="F34" s="115">
        <v>372.91853773061803</v>
      </c>
      <c r="G34" s="115">
        <v>0.63736352751299996</v>
      </c>
      <c r="H34" s="115">
        <v>0.63736352751299996</v>
      </c>
      <c r="I34" s="115">
        <v>0.53855196704300001</v>
      </c>
      <c r="J34" s="115">
        <v>7.9784107549999997E-2</v>
      </c>
      <c r="K34" s="115">
        <v>445230.63733038103</v>
      </c>
      <c r="L34" s="115">
        <v>76154.538523958996</v>
      </c>
      <c r="M34" s="115" t="s">
        <v>128</v>
      </c>
      <c r="N34" s="115" t="s">
        <v>135</v>
      </c>
    </row>
    <row r="35" spans="1:14" s="117" customFormat="1" ht="12.75">
      <c r="A35" s="119" t="s">
        <v>3</v>
      </c>
      <c r="B35" s="118">
        <v>409.69</v>
      </c>
      <c r="C35" s="118">
        <v>0.19</v>
      </c>
      <c r="D35" s="118">
        <v>57.74</v>
      </c>
      <c r="E35" s="118">
        <v>409.68844413643399</v>
      </c>
      <c r="F35" s="118">
        <v>401.26844413643403</v>
      </c>
      <c r="G35" s="118">
        <v>0.67744229055399996</v>
      </c>
      <c r="H35" s="118">
        <v>0.67744229055399996</v>
      </c>
      <c r="I35" s="118">
        <v>0.59798453168599996</v>
      </c>
      <c r="J35" s="118">
        <v>9.6094564532000007E-2</v>
      </c>
      <c r="K35" s="118">
        <v>445230.677407059</v>
      </c>
      <c r="L35" s="118">
        <v>76154.597953432807</v>
      </c>
      <c r="M35" s="118" t="s">
        <v>128</v>
      </c>
      <c r="N35" s="118" t="s">
        <v>135</v>
      </c>
    </row>
    <row r="36" spans="1:14" s="102" customFormat="1" ht="12.75">
      <c r="A36" s="116" t="s">
        <v>3</v>
      </c>
      <c r="B36" s="115">
        <v>437.26</v>
      </c>
      <c r="C36" s="115">
        <v>0.17</v>
      </c>
      <c r="D36" s="115">
        <v>30.45</v>
      </c>
      <c r="E36" s="115">
        <v>437.25831297613098</v>
      </c>
      <c r="F36" s="115">
        <v>428.83831297613102</v>
      </c>
      <c r="G36" s="115">
        <v>0.73710148764399996</v>
      </c>
      <c r="H36" s="115">
        <v>0.73710148764399996</v>
      </c>
      <c r="I36" s="115">
        <v>0.65736878643999996</v>
      </c>
      <c r="J36" s="115">
        <v>9.4800191669E-2</v>
      </c>
      <c r="K36" s="115">
        <v>445230.737063154</v>
      </c>
      <c r="L36" s="115">
        <v>76154.657334599193</v>
      </c>
      <c r="M36" s="115" t="s">
        <v>131</v>
      </c>
      <c r="N36" s="115" t="s">
        <v>135</v>
      </c>
    </row>
    <row r="37" spans="1:14" s="117" customFormat="1" ht="12.75">
      <c r="A37" s="119" t="s">
        <v>3</v>
      </c>
      <c r="B37" s="118">
        <v>465.05</v>
      </c>
      <c r="C37" s="118">
        <v>0.12</v>
      </c>
      <c r="D37" s="118">
        <v>0.22</v>
      </c>
      <c r="E37" s="118">
        <v>465.04822701673999</v>
      </c>
      <c r="F37" s="118">
        <v>456.62822701674003</v>
      </c>
      <c r="G37" s="118">
        <v>0.80174371884600004</v>
      </c>
      <c r="H37" s="118">
        <v>0.80174371884600004</v>
      </c>
      <c r="I37" s="118">
        <v>0.67837392837999999</v>
      </c>
      <c r="J37" s="118">
        <v>9.6846860147999994E-2</v>
      </c>
      <c r="K37" s="118">
        <v>445230.80170202302</v>
      </c>
      <c r="L37" s="118">
        <v>76154.678338648693</v>
      </c>
      <c r="M37" s="118" t="s">
        <v>131</v>
      </c>
      <c r="N37" s="118" t="s">
        <v>135</v>
      </c>
    </row>
    <row r="38" spans="1:14" s="102" customFormat="1" ht="12.75">
      <c r="A38" s="116" t="s">
        <v>3</v>
      </c>
      <c r="B38" s="115">
        <v>493.34</v>
      </c>
      <c r="C38" s="115">
        <v>0.14000000000000001</v>
      </c>
      <c r="D38" s="115">
        <v>29.62</v>
      </c>
      <c r="E38" s="115">
        <v>493.33815716171301</v>
      </c>
      <c r="F38" s="115">
        <v>484.918157161713</v>
      </c>
      <c r="G38" s="115">
        <v>0.86141485407999996</v>
      </c>
      <c r="H38" s="115">
        <v>0.86141485407999996</v>
      </c>
      <c r="I38" s="115">
        <v>0.69557014669799999</v>
      </c>
      <c r="J38" s="115">
        <v>7.2910606520999996E-2</v>
      </c>
      <c r="K38" s="115">
        <v>445230.861370055</v>
      </c>
      <c r="L38" s="115">
        <v>76154.695533972699</v>
      </c>
      <c r="M38" s="115" t="s">
        <v>131</v>
      </c>
      <c r="N38" s="115" t="s">
        <v>135</v>
      </c>
    </row>
    <row r="39" spans="1:14" s="117" customFormat="1" ht="12.75">
      <c r="A39" s="119" t="s">
        <v>3</v>
      </c>
      <c r="B39" s="118">
        <v>549.42999999999995</v>
      </c>
      <c r="C39" s="118">
        <v>0.12</v>
      </c>
      <c r="D39" s="118">
        <v>312.14</v>
      </c>
      <c r="E39" s="118">
        <v>549.42804997011206</v>
      </c>
      <c r="F39" s="118">
        <v>541.00804997011198</v>
      </c>
      <c r="G39" s="118">
        <v>0.96039624634300003</v>
      </c>
      <c r="H39" s="118">
        <v>0.96039624634300003</v>
      </c>
      <c r="I39" s="118">
        <v>0.68588505812</v>
      </c>
      <c r="J39" s="118">
        <v>8.7422407763999996E-2</v>
      </c>
      <c r="K39" s="118">
        <v>445230.96034629998</v>
      </c>
      <c r="L39" s="118">
        <v>76154.685849387795</v>
      </c>
      <c r="M39" s="118" t="s">
        <v>131</v>
      </c>
      <c r="N39" s="118" t="s">
        <v>135</v>
      </c>
    </row>
    <row r="40" spans="1:14" s="102" customFormat="1" ht="12.75">
      <c r="A40" s="116" t="s">
        <v>3</v>
      </c>
      <c r="B40" s="115">
        <v>576.32000000000005</v>
      </c>
      <c r="C40" s="115">
        <v>0.12</v>
      </c>
      <c r="D40" s="115">
        <v>12.24</v>
      </c>
      <c r="E40" s="115">
        <v>576.31800085286102</v>
      </c>
      <c r="F40" s="115">
        <v>567.89800085286095</v>
      </c>
      <c r="G40" s="115">
        <v>1.006808481652</v>
      </c>
      <c r="H40" s="115">
        <v>1.006808481652</v>
      </c>
      <c r="I40" s="115">
        <v>0.67097478358700002</v>
      </c>
      <c r="J40" s="115">
        <v>0.134080998576</v>
      </c>
      <c r="K40" s="115">
        <v>445231.006756121</v>
      </c>
      <c r="L40" s="115">
        <v>76154.670939888703</v>
      </c>
      <c r="M40" s="115" t="s">
        <v>131</v>
      </c>
      <c r="N40" s="115" t="s">
        <v>135</v>
      </c>
    </row>
    <row r="41" spans="1:14" s="117" customFormat="1" ht="12.75">
      <c r="A41" s="119" t="s">
        <v>3</v>
      </c>
      <c r="B41" s="118">
        <v>603.84</v>
      </c>
      <c r="C41" s="118">
        <v>0.28000000000000003</v>
      </c>
      <c r="D41" s="118">
        <v>17.190000000000001</v>
      </c>
      <c r="E41" s="118">
        <v>603.83782442480197</v>
      </c>
      <c r="F41" s="118">
        <v>595.41782442480201</v>
      </c>
      <c r="G41" s="118">
        <v>1.09921228658</v>
      </c>
      <c r="H41" s="118">
        <v>1.09921228658</v>
      </c>
      <c r="I41" s="118">
        <v>0.69695791762100001</v>
      </c>
      <c r="J41" s="118">
        <v>0.175270324082</v>
      </c>
      <c r="K41" s="118">
        <v>445231.09915512102</v>
      </c>
      <c r="L41" s="118">
        <v>76154.696921671493</v>
      </c>
      <c r="M41" s="118" t="s">
        <v>133</v>
      </c>
      <c r="N41" s="118" t="s">
        <v>135</v>
      </c>
    </row>
    <row r="42" spans="1:14" s="102" customFormat="1" ht="12.75">
      <c r="A42" s="116" t="s">
        <v>3</v>
      </c>
      <c r="B42" s="115">
        <v>631.41</v>
      </c>
      <c r="C42" s="115">
        <v>0.18</v>
      </c>
      <c r="D42" s="115">
        <v>21.45</v>
      </c>
      <c r="E42" s="115">
        <v>631.40759898563999</v>
      </c>
      <c r="F42" s="115">
        <v>622.98759898564003</v>
      </c>
      <c r="G42" s="115">
        <v>1.2038762521649999</v>
      </c>
      <c r="H42" s="115">
        <v>1.2038762521649999</v>
      </c>
      <c r="I42" s="115">
        <v>0.73270416931600002</v>
      </c>
      <c r="J42" s="115">
        <v>0.110318677475</v>
      </c>
      <c r="K42" s="115">
        <v>445231.20381364302</v>
      </c>
      <c r="L42" s="115">
        <v>76154.732666064097</v>
      </c>
      <c r="M42" s="115" t="s">
        <v>133</v>
      </c>
      <c r="N42" s="115" t="s">
        <v>135</v>
      </c>
    </row>
    <row r="43" spans="1:14" s="117" customFormat="1" ht="12.75">
      <c r="A43" s="119" t="s">
        <v>3</v>
      </c>
      <c r="B43" s="118">
        <v>659.53</v>
      </c>
      <c r="C43" s="118">
        <v>0.32</v>
      </c>
      <c r="D43" s="118">
        <v>8.19</v>
      </c>
      <c r="E43" s="118">
        <v>659.52732650047403</v>
      </c>
      <c r="F43" s="118">
        <v>651.10732650047396</v>
      </c>
      <c r="G43" s="118">
        <v>1.3227122190989999</v>
      </c>
      <c r="H43" s="118">
        <v>1.3227122190989999</v>
      </c>
      <c r="I43" s="118">
        <v>0.76004337311799997</v>
      </c>
      <c r="J43" s="118">
        <v>0.160636475621</v>
      </c>
      <c r="K43" s="118">
        <v>445231.32264342997</v>
      </c>
      <c r="L43" s="118">
        <v>76154.760003846095</v>
      </c>
      <c r="M43" s="118" t="s">
        <v>136</v>
      </c>
      <c r="N43" s="118" t="s">
        <v>137</v>
      </c>
    </row>
    <row r="44" spans="1:14" s="102" customFormat="1" ht="12.75">
      <c r="A44" s="116" t="s">
        <v>3</v>
      </c>
      <c r="B44" s="115">
        <v>687.44</v>
      </c>
      <c r="C44" s="115">
        <v>0.22</v>
      </c>
      <c r="D44" s="115">
        <v>43.13</v>
      </c>
      <c r="E44" s="115">
        <v>687.437031045769</v>
      </c>
      <c r="F44" s="115">
        <v>679.01703104576995</v>
      </c>
      <c r="G44" s="115">
        <v>1.438961721638</v>
      </c>
      <c r="H44" s="115">
        <v>1.438961721638</v>
      </c>
      <c r="I44" s="115">
        <v>0.80777880157100002</v>
      </c>
      <c r="J44" s="115">
        <v>0.20217733658100001</v>
      </c>
      <c r="K44" s="115">
        <v>445231.43888688699</v>
      </c>
      <c r="L44" s="115">
        <v>76154.807736792005</v>
      </c>
      <c r="M44" s="115" t="s">
        <v>136</v>
      </c>
      <c r="N44" s="115" t="s">
        <v>137</v>
      </c>
    </row>
    <row r="45" spans="1:14" s="117" customFormat="1" ht="12.75">
      <c r="A45" s="119" t="s">
        <v>3</v>
      </c>
      <c r="B45" s="118">
        <v>715.19</v>
      </c>
      <c r="C45" s="118">
        <v>0.22</v>
      </c>
      <c r="D45" s="118">
        <v>14.75</v>
      </c>
      <c r="E45" s="118">
        <v>715.18683467537596</v>
      </c>
      <c r="F45" s="118">
        <v>706.766834675376</v>
      </c>
      <c r="G45" s="118">
        <v>1.5293632233209999</v>
      </c>
      <c r="H45" s="118">
        <v>1.5293632233209999</v>
      </c>
      <c r="I45" s="118">
        <v>0.85776548811700004</v>
      </c>
      <c r="J45" s="118">
        <v>0.11660600105</v>
      </c>
      <c r="K45" s="118">
        <v>445231.52928368701</v>
      </c>
      <c r="L45" s="118">
        <v>76154.857720878994</v>
      </c>
      <c r="M45" s="118" t="s">
        <v>136</v>
      </c>
      <c r="N45" s="118" t="s">
        <v>137</v>
      </c>
    </row>
    <row r="46" spans="1:14" s="102" customFormat="1" ht="12.75">
      <c r="A46" s="116" t="s">
        <v>3</v>
      </c>
      <c r="B46" s="115">
        <v>742.91</v>
      </c>
      <c r="C46" s="115">
        <v>0.28999999999999998</v>
      </c>
      <c r="D46" s="115">
        <v>247.43</v>
      </c>
      <c r="E46" s="115">
        <v>742.90670263889797</v>
      </c>
      <c r="F46" s="115">
        <v>734.48670263889801</v>
      </c>
      <c r="G46" s="115">
        <v>1.553903073494</v>
      </c>
      <c r="H46" s="115">
        <v>1.553903073494</v>
      </c>
      <c r="I46" s="115">
        <v>0.80653608048299996</v>
      </c>
      <c r="J46" s="115">
        <v>0.49578356156999998</v>
      </c>
      <c r="K46" s="115">
        <v>445231.55382226099</v>
      </c>
      <c r="L46" s="115">
        <v>76154.806494135599</v>
      </c>
      <c r="M46" s="115" t="s">
        <v>136</v>
      </c>
      <c r="N46" s="115" t="s">
        <v>137</v>
      </c>
    </row>
    <row r="47" spans="1:14" s="117" customFormat="1" ht="12.75">
      <c r="A47" s="119" t="s">
        <v>3</v>
      </c>
      <c r="B47" s="118">
        <v>770.75</v>
      </c>
      <c r="C47" s="118">
        <v>0.66</v>
      </c>
      <c r="D47" s="118">
        <v>243.45</v>
      </c>
      <c r="E47" s="118">
        <v>770.74569821206296</v>
      </c>
      <c r="F47" s="118">
        <v>762.325698212063</v>
      </c>
      <c r="G47" s="118">
        <v>1.455191158256</v>
      </c>
      <c r="H47" s="118">
        <v>1.455191158256</v>
      </c>
      <c r="I47" s="118">
        <v>0.59804199052700002</v>
      </c>
      <c r="J47" s="118">
        <v>0.40004894978</v>
      </c>
      <c r="K47" s="118">
        <v>445231.45511547901</v>
      </c>
      <c r="L47" s="118">
        <v>76154.5980108886</v>
      </c>
      <c r="M47" s="118" t="s">
        <v>136</v>
      </c>
      <c r="N47" s="118" t="s">
        <v>135</v>
      </c>
    </row>
    <row r="48" spans="1:14" s="102" customFormat="1" ht="12.75">
      <c r="A48" s="116" t="s">
        <v>3</v>
      </c>
      <c r="B48" s="115">
        <v>798.73</v>
      </c>
      <c r="C48" s="115">
        <v>0.67</v>
      </c>
      <c r="D48" s="115">
        <v>238.61</v>
      </c>
      <c r="E48" s="115">
        <v>798.72381585230505</v>
      </c>
      <c r="F48" s="115">
        <v>790.30381585230498</v>
      </c>
      <c r="G48" s="115">
        <v>1.2979524607420001</v>
      </c>
      <c r="H48" s="115">
        <v>1.2979524607420001</v>
      </c>
      <c r="I48" s="115">
        <v>0.31423810738899999</v>
      </c>
      <c r="J48" s="115">
        <v>6.1156956005999998E-2</v>
      </c>
      <c r="K48" s="115">
        <v>445231.29788495903</v>
      </c>
      <c r="L48" s="115">
        <v>76154.314221765002</v>
      </c>
      <c r="M48" s="115" t="s">
        <v>133</v>
      </c>
      <c r="N48" s="115" t="s">
        <v>134</v>
      </c>
    </row>
    <row r="49" spans="1:14" s="117" customFormat="1" ht="12.75">
      <c r="A49" s="119" t="s">
        <v>3</v>
      </c>
      <c r="B49" s="118">
        <v>826.64</v>
      </c>
      <c r="C49" s="118">
        <v>0.56000000000000005</v>
      </c>
      <c r="D49" s="118">
        <v>231.97</v>
      </c>
      <c r="E49" s="118">
        <v>826.63220733714604</v>
      </c>
      <c r="F49" s="118">
        <v>818.21220733714597</v>
      </c>
      <c r="G49" s="118">
        <v>1.1289298791760001</v>
      </c>
      <c r="H49" s="118">
        <v>1.1289298791760001</v>
      </c>
      <c r="I49" s="118">
        <v>6.7504843699000006E-2</v>
      </c>
      <c r="J49" s="118">
        <v>0.14069597646000001</v>
      </c>
      <c r="K49" s="118">
        <v>445231.12887116801</v>
      </c>
      <c r="L49" s="118">
        <v>76154.067501333004</v>
      </c>
      <c r="M49" s="118" t="s">
        <v>133</v>
      </c>
      <c r="N49" s="118" t="s">
        <v>132</v>
      </c>
    </row>
    <row r="50" spans="1:14" s="102" customFormat="1" ht="12.75">
      <c r="A50" s="116" t="s">
        <v>3</v>
      </c>
      <c r="B50" s="115">
        <v>853.62</v>
      </c>
      <c r="C50" s="115">
        <v>0.68</v>
      </c>
      <c r="D50" s="115">
        <v>214.76</v>
      </c>
      <c r="E50" s="115">
        <v>853.610646162786</v>
      </c>
      <c r="F50" s="115">
        <v>845.19064616278604</v>
      </c>
      <c r="G50" s="115">
        <v>0.91617332957599995</v>
      </c>
      <c r="H50" s="115">
        <v>0.91617332957599995</v>
      </c>
      <c r="I50" s="115">
        <v>-0.12762852266700001</v>
      </c>
      <c r="J50" s="115">
        <v>0.24487325306800001</v>
      </c>
      <c r="K50" s="115">
        <v>445230.916125683</v>
      </c>
      <c r="L50" s="115">
        <v>76153.8723781148</v>
      </c>
      <c r="M50" s="115" t="s">
        <v>131</v>
      </c>
      <c r="N50" s="115" t="s">
        <v>130</v>
      </c>
    </row>
    <row r="51" spans="1:14" s="117" customFormat="1" ht="12.75">
      <c r="A51" s="119" t="s">
        <v>3</v>
      </c>
      <c r="B51" s="118">
        <v>882.88</v>
      </c>
      <c r="C51" s="118">
        <v>0.57999999999999996</v>
      </c>
      <c r="D51" s="118">
        <v>214.15</v>
      </c>
      <c r="E51" s="118">
        <v>882.86887369441195</v>
      </c>
      <c r="F51" s="118">
        <v>874.44887369441199</v>
      </c>
      <c r="G51" s="118">
        <v>0.65096978779100001</v>
      </c>
      <c r="H51" s="118">
        <v>0.65096978779100001</v>
      </c>
      <c r="I51" s="118">
        <v>-0.30975618752700002</v>
      </c>
      <c r="J51" s="118">
        <v>0.102757958554</v>
      </c>
      <c r="K51" s="118">
        <v>445230.65093593299</v>
      </c>
      <c r="L51" s="118">
        <v>76153.690259921699</v>
      </c>
      <c r="M51" s="118" t="s">
        <v>128</v>
      </c>
      <c r="N51" s="118" t="s">
        <v>129</v>
      </c>
    </row>
    <row r="52" spans="1:14" s="102" customFormat="1" ht="12.75">
      <c r="A52" s="116" t="s">
        <v>3</v>
      </c>
      <c r="B52" s="115">
        <v>909.27</v>
      </c>
      <c r="C52" s="115">
        <v>0.63</v>
      </c>
      <c r="D52" s="115">
        <v>209.85</v>
      </c>
      <c r="E52" s="115">
        <v>909.25740303796897</v>
      </c>
      <c r="F52" s="115">
        <v>900.83740303796901</v>
      </c>
      <c r="G52" s="115">
        <v>0.41459590168799998</v>
      </c>
      <c r="H52" s="115">
        <v>0.41459590168799998</v>
      </c>
      <c r="I52" s="115">
        <v>-0.45694962316900001</v>
      </c>
      <c r="J52" s="115">
        <v>7.6740163964999997E-2</v>
      </c>
      <c r="K52" s="115">
        <v>445230.41457433999</v>
      </c>
      <c r="L52" s="115">
        <v>76153.543074141096</v>
      </c>
      <c r="M52" s="115" t="s">
        <v>128</v>
      </c>
      <c r="N52" s="115" t="s">
        <v>126</v>
      </c>
    </row>
    <row r="53" spans="1:14" s="117" customFormat="1" ht="12.75">
      <c r="A53" s="119" t="s">
        <v>3</v>
      </c>
      <c r="B53" s="118">
        <v>937.97</v>
      </c>
      <c r="C53" s="118">
        <v>0.56999999999999995</v>
      </c>
      <c r="D53" s="118">
        <v>210.1</v>
      </c>
      <c r="E53" s="118">
        <v>937.95582809243399</v>
      </c>
      <c r="F53" s="118">
        <v>929.53582809243403</v>
      </c>
      <c r="G53" s="118">
        <v>0.15423915961599999</v>
      </c>
      <c r="H53" s="118">
        <v>0.15423915961599999</v>
      </c>
      <c r="I53" s="118">
        <v>-0.60707738242800002</v>
      </c>
      <c r="J53" s="118">
        <v>6.2777293158E-2</v>
      </c>
      <c r="K53" s="118">
        <v>445230.154231138</v>
      </c>
      <c r="L53" s="118">
        <v>76153.392954189403</v>
      </c>
      <c r="M53" s="118" t="s">
        <v>127</v>
      </c>
      <c r="N53" s="118" t="s">
        <v>126</v>
      </c>
    </row>
    <row r="54" spans="1:14" s="102" customFormat="1" ht="12.75">
      <c r="A54" s="116" t="s">
        <v>3</v>
      </c>
      <c r="B54" s="115">
        <v>966.42</v>
      </c>
      <c r="C54" s="115">
        <v>0.46</v>
      </c>
      <c r="D54" s="115">
        <v>207.83</v>
      </c>
      <c r="E54" s="115">
        <v>966.40467475982098</v>
      </c>
      <c r="F54" s="115">
        <v>957.98467475982102</v>
      </c>
      <c r="G54" s="115">
        <v>-6.9186495890999997E-2</v>
      </c>
      <c r="H54" s="115">
        <v>-6.9186495890999997E-2</v>
      </c>
      <c r="I54" s="115">
        <v>-0.73136416499400003</v>
      </c>
      <c r="J54" s="115">
        <v>0.11794884417199999</v>
      </c>
      <c r="K54" s="115">
        <v>445229.93081710202</v>
      </c>
      <c r="L54" s="115">
        <v>76153.268673870494</v>
      </c>
      <c r="M54" s="115" t="s">
        <v>125</v>
      </c>
      <c r="N54" s="115" t="s">
        <v>124</v>
      </c>
    </row>
    <row r="55" spans="1:14" s="117" customFormat="1" ht="12.75">
      <c r="A55" s="119" t="s">
        <v>3</v>
      </c>
      <c r="B55" s="118">
        <v>994.19</v>
      </c>
      <c r="C55" s="118">
        <v>0.53</v>
      </c>
      <c r="D55" s="118">
        <v>206.07</v>
      </c>
      <c r="E55" s="118">
        <v>994.17363684048996</v>
      </c>
      <c r="F55" s="118">
        <v>985.75363684049</v>
      </c>
      <c r="G55" s="118">
        <v>-0.28313798570799997</v>
      </c>
      <c r="H55" s="118">
        <v>-0.28313798570799997</v>
      </c>
      <c r="I55" s="118">
        <v>-0.839850554882</v>
      </c>
      <c r="J55" s="118">
        <v>7.7375768861999997E-2</v>
      </c>
      <c r="K55" s="118">
        <v>445229.716876739</v>
      </c>
      <c r="L55" s="118">
        <v>76153.160193122603</v>
      </c>
      <c r="M55" s="118" t="s">
        <v>123</v>
      </c>
      <c r="N55" s="118" t="s">
        <v>121</v>
      </c>
    </row>
    <row r="56" spans="1:14" s="102" customFormat="1" ht="12.75">
      <c r="A56" s="116" t="s">
        <v>3</v>
      </c>
      <c r="B56" s="115">
        <v>1022.1</v>
      </c>
      <c r="C56" s="115">
        <v>0.53</v>
      </c>
      <c r="D56" s="115">
        <v>194.08</v>
      </c>
      <c r="E56" s="115">
        <v>1022.0824514439</v>
      </c>
      <c r="F56" s="115">
        <v>1013.6624514439</v>
      </c>
      <c r="G56" s="115">
        <v>-0.52429718174600004</v>
      </c>
      <c r="H56" s="115">
        <v>-0.52429718174600004</v>
      </c>
      <c r="I56" s="115">
        <v>-0.92798299027099995</v>
      </c>
      <c r="J56" s="115">
        <v>0.11899671801800001</v>
      </c>
      <c r="K56" s="115">
        <v>445229.47573008499</v>
      </c>
      <c r="L56" s="115">
        <v>76153.072065270593</v>
      </c>
      <c r="M56" s="115" t="s">
        <v>122</v>
      </c>
      <c r="N56" s="115" t="s">
        <v>121</v>
      </c>
    </row>
    <row r="57" spans="1:14" s="117" customFormat="1" ht="12.75">
      <c r="A57" s="119" t="s">
        <v>3</v>
      </c>
      <c r="B57" s="118">
        <v>1050.55</v>
      </c>
      <c r="C57" s="118">
        <v>0.5</v>
      </c>
      <c r="D57" s="118">
        <v>195.73</v>
      </c>
      <c r="E57" s="118">
        <v>1050.5313020169499</v>
      </c>
      <c r="F57" s="118">
        <v>1042.11130201695</v>
      </c>
      <c r="G57" s="118">
        <v>-0.77141300726100004</v>
      </c>
      <c r="H57" s="118">
        <v>-0.77141300726100004</v>
      </c>
      <c r="I57" s="118">
        <v>-0.99364754762700003</v>
      </c>
      <c r="J57" s="118">
        <v>3.5285746931999998E-2</v>
      </c>
      <c r="K57" s="118">
        <v>445229.22862711101</v>
      </c>
      <c r="L57" s="118">
        <v>76153.006404128202</v>
      </c>
      <c r="M57" s="118" t="s">
        <v>122</v>
      </c>
      <c r="N57" s="118" t="s">
        <v>121</v>
      </c>
    </row>
    <row r="58" spans="1:14" s="102" customFormat="1" ht="12.75">
      <c r="A58" s="116" t="s">
        <v>3</v>
      </c>
      <c r="B58" s="115">
        <v>1078.23</v>
      </c>
      <c r="C58" s="115">
        <v>0.5</v>
      </c>
      <c r="D58" s="115">
        <v>198.17</v>
      </c>
      <c r="E58" s="115">
        <v>1078.21024836588</v>
      </c>
      <c r="F58" s="115">
        <v>1069.79024836588</v>
      </c>
      <c r="G58" s="115">
        <v>-1.002418068294</v>
      </c>
      <c r="H58" s="115">
        <v>-1.002418068294</v>
      </c>
      <c r="I58" s="115">
        <v>-1.064052508287</v>
      </c>
      <c r="J58" s="115">
        <v>2.3075655107999998E-2</v>
      </c>
      <c r="K58" s="115">
        <v>445228.997634064</v>
      </c>
      <c r="L58" s="115">
        <v>76152.936002829098</v>
      </c>
      <c r="M58" s="115" t="s">
        <v>120</v>
      </c>
      <c r="N58" s="115" t="s">
        <v>118</v>
      </c>
    </row>
    <row r="59" spans="1:14" s="117" customFormat="1" ht="12.75">
      <c r="A59" s="119" t="s">
        <v>3</v>
      </c>
      <c r="B59" s="118">
        <v>1106.58</v>
      </c>
      <c r="C59" s="118">
        <v>0.62</v>
      </c>
      <c r="D59" s="118">
        <v>203.28</v>
      </c>
      <c r="E59" s="118">
        <v>1106.55889085886</v>
      </c>
      <c r="F59" s="118">
        <v>1098.1388908588599</v>
      </c>
      <c r="G59" s="118">
        <v>-1.2608459574640001</v>
      </c>
      <c r="H59" s="118">
        <v>-1.2608459574640001</v>
      </c>
      <c r="I59" s="118">
        <v>-1.1632480961980001</v>
      </c>
      <c r="J59" s="118">
        <v>0.13741990897199999</v>
      </c>
      <c r="K59" s="118">
        <v>445228.73921961401</v>
      </c>
      <c r="L59" s="118">
        <v>76152.836812399997</v>
      </c>
      <c r="M59" s="118" t="s">
        <v>119</v>
      </c>
      <c r="N59" s="118" t="s">
        <v>118</v>
      </c>
    </row>
    <row r="60" spans="1:14" s="102" customFormat="1" ht="12.75">
      <c r="A60" s="116" t="s">
        <v>3</v>
      </c>
      <c r="B60" s="115">
        <v>1134.8</v>
      </c>
      <c r="C60" s="115">
        <v>0.49</v>
      </c>
      <c r="D60" s="115">
        <v>209.69</v>
      </c>
      <c r="E60" s="115">
        <v>1134.7775635988901</v>
      </c>
      <c r="F60" s="115">
        <v>1126.35756359889</v>
      </c>
      <c r="G60" s="115">
        <v>-1.5059245074630001</v>
      </c>
      <c r="H60" s="115">
        <v>-1.5059245074630001</v>
      </c>
      <c r="I60" s="115">
        <v>-1.2833599823970001</v>
      </c>
      <c r="J60" s="115">
        <v>0.15294379148500001</v>
      </c>
      <c r="K60" s="115">
        <v>445228.49415381002</v>
      </c>
      <c r="L60" s="115">
        <v>76152.7167067603</v>
      </c>
      <c r="M60" s="115" t="s">
        <v>117</v>
      </c>
      <c r="N60" s="115" t="s">
        <v>114</v>
      </c>
    </row>
    <row r="61" spans="1:14" s="117" customFormat="1" ht="12.75">
      <c r="A61" s="119" t="s">
        <v>3</v>
      </c>
      <c r="B61" s="118">
        <v>1162</v>
      </c>
      <c r="C61" s="118">
        <v>0.38</v>
      </c>
      <c r="D61" s="118">
        <v>191.36</v>
      </c>
      <c r="E61" s="118">
        <v>1161.9767885506201</v>
      </c>
      <c r="F61" s="118">
        <v>1153.55678855062</v>
      </c>
      <c r="G61" s="118">
        <v>-1.6953937989009999</v>
      </c>
      <c r="H61" s="118">
        <v>-1.6953937989009999</v>
      </c>
      <c r="I61" s="118">
        <v>-1.3587344354719999</v>
      </c>
      <c r="J61" s="118">
        <v>0.19417678712299999</v>
      </c>
      <c r="K61" s="118">
        <v>445228.304694372</v>
      </c>
      <c r="L61" s="118">
        <v>76152.6413362272</v>
      </c>
      <c r="M61" s="118" t="s">
        <v>117</v>
      </c>
      <c r="N61" s="118" t="s">
        <v>114</v>
      </c>
    </row>
    <row r="62" spans="1:14" s="102" customFormat="1" ht="12.75">
      <c r="A62" s="116" t="s">
        <v>116</v>
      </c>
      <c r="B62" s="115">
        <v>1188</v>
      </c>
      <c r="C62" s="115">
        <v>0</v>
      </c>
      <c r="D62" s="115">
        <v>0</v>
      </c>
      <c r="E62" s="115">
        <v>1187.97659794177</v>
      </c>
      <c r="F62" s="115">
        <v>1179.55659794177</v>
      </c>
      <c r="G62" s="115">
        <v>-1.779923626148</v>
      </c>
      <c r="H62" s="115">
        <v>-1.779923626148</v>
      </c>
      <c r="I62" s="115">
        <v>-1.3757172348140001</v>
      </c>
      <c r="J62" s="115">
        <v>0.43846153846199998</v>
      </c>
      <c r="K62" s="115">
        <v>445228.22016894101</v>
      </c>
      <c r="L62" s="115">
        <v>76152.624354311105</v>
      </c>
      <c r="M62" s="115" t="s">
        <v>115</v>
      </c>
      <c r="N62" s="115" t="s">
        <v>114</v>
      </c>
    </row>
    <row r="66" spans="1:12" s="111" customFormat="1" ht="12.75">
      <c r="A66" s="114" t="s">
        <v>113</v>
      </c>
      <c r="B66" s="112"/>
      <c r="C66" s="113" t="s">
        <v>112</v>
      </c>
      <c r="D66" s="112"/>
      <c r="E66" s="112"/>
      <c r="F66" s="112"/>
      <c r="G66" s="112"/>
      <c r="H66" s="112"/>
      <c r="I66" s="112"/>
      <c r="J66" s="112"/>
      <c r="K66" s="112"/>
      <c r="L66" s="112"/>
    </row>
    <row r="69" spans="1:12" s="111" customFormat="1" ht="12.75">
      <c r="A69" s="114" t="s">
        <v>111</v>
      </c>
      <c r="B69" s="112"/>
      <c r="C69" s="113" t="s">
        <v>110</v>
      </c>
      <c r="D69" s="112"/>
      <c r="E69" s="112"/>
      <c r="F69" s="112"/>
      <c r="G69" s="112"/>
      <c r="H69" s="112"/>
      <c r="I69" s="112"/>
      <c r="J69" s="112"/>
      <c r="K69" s="112"/>
      <c r="L69" s="112"/>
    </row>
    <row r="70" spans="1:12" s="111" customFormat="1" ht="12.75">
      <c r="A70" s="114" t="s">
        <v>109</v>
      </c>
      <c r="B70" s="112"/>
      <c r="C70" s="113" t="s">
        <v>3</v>
      </c>
      <c r="D70" s="112"/>
      <c r="E70" s="112"/>
      <c r="F70" s="112"/>
      <c r="G70" s="112"/>
      <c r="H70" s="112"/>
      <c r="I70" s="112"/>
      <c r="J70" s="112"/>
      <c r="K70" s="112"/>
      <c r="L70" s="112"/>
    </row>
    <row r="71" spans="1:12" s="107" customFormat="1" ht="38.25">
      <c r="A71" s="108" t="s">
        <v>108</v>
      </c>
      <c r="B71" s="108" t="s">
        <v>3</v>
      </c>
      <c r="C71" s="109" t="s">
        <v>107</v>
      </c>
      <c r="D71" s="109" t="s">
        <v>106</v>
      </c>
      <c r="E71" s="110" t="s">
        <v>105</v>
      </c>
      <c r="F71" s="109" t="s">
        <v>104</v>
      </c>
      <c r="G71" s="109" t="s">
        <v>103</v>
      </c>
      <c r="H71" s="109" t="s">
        <v>102</v>
      </c>
      <c r="I71" s="108" t="s">
        <v>101</v>
      </c>
      <c r="J71" s="108" t="s">
        <v>3</v>
      </c>
      <c r="K71" s="108" t="s">
        <v>100</v>
      </c>
      <c r="L71" s="108" t="s">
        <v>3</v>
      </c>
    </row>
    <row r="72" spans="1:12" s="102" customFormat="1" ht="25.5" customHeight="1">
      <c r="A72" s="104" t="s">
        <v>3</v>
      </c>
      <c r="B72" s="103"/>
      <c r="C72" s="106">
        <v>1</v>
      </c>
      <c r="D72" s="105">
        <v>0</v>
      </c>
      <c r="E72" s="105">
        <v>9.3200001922727491</v>
      </c>
      <c r="F72" s="105" t="s">
        <v>98</v>
      </c>
      <c r="G72" s="105">
        <v>30</v>
      </c>
      <c r="H72" s="105">
        <v>30</v>
      </c>
      <c r="I72" s="104" t="s">
        <v>58</v>
      </c>
      <c r="J72" s="103"/>
      <c r="K72" s="104" t="s">
        <v>97</v>
      </c>
      <c r="L72" s="103"/>
    </row>
    <row r="73" spans="1:12" s="102" customFormat="1" ht="12.75">
      <c r="A73" s="104" t="s">
        <v>3</v>
      </c>
      <c r="B73" s="103"/>
      <c r="C73" s="106">
        <v>1</v>
      </c>
      <c r="D73" s="105">
        <v>9.3200001922727491</v>
      </c>
      <c r="E73" s="105">
        <v>120.21</v>
      </c>
      <c r="F73" s="105" t="s">
        <v>99</v>
      </c>
      <c r="G73" s="105">
        <v>30</v>
      </c>
      <c r="H73" s="105">
        <v>30</v>
      </c>
      <c r="I73" s="104" t="s">
        <v>59</v>
      </c>
      <c r="J73" s="103"/>
      <c r="K73" s="104" t="s">
        <v>97</v>
      </c>
      <c r="L73" s="103"/>
    </row>
    <row r="74" spans="1:12" s="102" customFormat="1" ht="12.75">
      <c r="A74" s="104" t="s">
        <v>3</v>
      </c>
      <c r="B74" s="103"/>
      <c r="C74" s="106">
        <v>1</v>
      </c>
      <c r="D74" s="105">
        <v>120.21</v>
      </c>
      <c r="E74" s="105">
        <v>137</v>
      </c>
      <c r="F74" s="105" t="s">
        <v>98</v>
      </c>
      <c r="G74" s="105">
        <v>30</v>
      </c>
      <c r="H74" s="105">
        <v>30</v>
      </c>
      <c r="I74" s="104" t="s">
        <v>59</v>
      </c>
      <c r="J74" s="103"/>
      <c r="K74" s="104" t="s">
        <v>97</v>
      </c>
      <c r="L74" s="103"/>
    </row>
    <row r="75" spans="1:12" s="102" customFormat="1" ht="12.75">
      <c r="A75" s="104" t="s">
        <v>3</v>
      </c>
      <c r="B75" s="103"/>
      <c r="C75" s="106">
        <v>1</v>
      </c>
      <c r="D75" s="105">
        <v>137</v>
      </c>
      <c r="E75" s="105">
        <v>1188</v>
      </c>
      <c r="F75" s="105" t="s">
        <v>98</v>
      </c>
      <c r="G75" s="105">
        <v>24</v>
      </c>
      <c r="H75" s="105">
        <v>24</v>
      </c>
      <c r="I75" s="104" t="s">
        <v>59</v>
      </c>
      <c r="J75" s="103"/>
      <c r="K75" s="104" t="s">
        <v>97</v>
      </c>
      <c r="L75" s="103"/>
    </row>
  </sheetData>
  <mergeCells count="86">
    <mergeCell ref="A74:B74"/>
    <mergeCell ref="I74:J74"/>
    <mergeCell ref="K74:L74"/>
    <mergeCell ref="A75:B75"/>
    <mergeCell ref="I75:J75"/>
    <mergeCell ref="K75:L75"/>
    <mergeCell ref="A72:B72"/>
    <mergeCell ref="I72:J72"/>
    <mergeCell ref="K72:L72"/>
    <mergeCell ref="A73:B73"/>
    <mergeCell ref="I73:J73"/>
    <mergeCell ref="K73:L73"/>
    <mergeCell ref="A69:B69"/>
    <mergeCell ref="C69:L69"/>
    <mergeCell ref="A70:B70"/>
    <mergeCell ref="C70:L70"/>
    <mergeCell ref="A71:B71"/>
    <mergeCell ref="I71:J71"/>
    <mergeCell ref="K71:L71"/>
    <mergeCell ref="A19:B19"/>
    <mergeCell ref="A20:B20"/>
    <mergeCell ref="I21:L21"/>
    <mergeCell ref="G21:H21"/>
    <mergeCell ref="A66:B66"/>
    <mergeCell ref="C66:L66"/>
    <mergeCell ref="G20:H20"/>
    <mergeCell ref="I20:L20"/>
    <mergeCell ref="G19:H19"/>
    <mergeCell ref="A18:B18"/>
    <mergeCell ref="C13:F13"/>
    <mergeCell ref="A16:B16"/>
    <mergeCell ref="C18:F18"/>
    <mergeCell ref="C17:F17"/>
    <mergeCell ref="A17:B17"/>
    <mergeCell ref="A15:B15"/>
    <mergeCell ref="G16:H16"/>
    <mergeCell ref="C19:F19"/>
    <mergeCell ref="G17:H17"/>
    <mergeCell ref="C16:F16"/>
    <mergeCell ref="C15:F15"/>
    <mergeCell ref="C14:F14"/>
    <mergeCell ref="G14:H14"/>
    <mergeCell ref="G15:H15"/>
    <mergeCell ref="G18:H18"/>
    <mergeCell ref="A12:B12"/>
    <mergeCell ref="C12:F12"/>
    <mergeCell ref="A13:B13"/>
    <mergeCell ref="A14:B14"/>
    <mergeCell ref="A11:B11"/>
    <mergeCell ref="I11:L11"/>
    <mergeCell ref="G11:H11"/>
    <mergeCell ref="G12:H12"/>
    <mergeCell ref="I12:L12"/>
    <mergeCell ref="G13:H13"/>
    <mergeCell ref="C10:F10"/>
    <mergeCell ref="A8:B8"/>
    <mergeCell ref="A9:B9"/>
    <mergeCell ref="A10:B10"/>
    <mergeCell ref="C11:F11"/>
    <mergeCell ref="C9:F9"/>
    <mergeCell ref="C8:F8"/>
    <mergeCell ref="I6:L6"/>
    <mergeCell ref="I7:L7"/>
    <mergeCell ref="I8:L8"/>
    <mergeCell ref="G5:H5"/>
    <mergeCell ref="G8:H8"/>
    <mergeCell ref="G6:H6"/>
    <mergeCell ref="G7:H7"/>
    <mergeCell ref="G9:H9"/>
    <mergeCell ref="G10:H10"/>
    <mergeCell ref="I10:L10"/>
    <mergeCell ref="A7:B7"/>
    <mergeCell ref="A5:B5"/>
    <mergeCell ref="C7:F7"/>
    <mergeCell ref="A6:B6"/>
    <mergeCell ref="C6:F6"/>
    <mergeCell ref="C5:F5"/>
    <mergeCell ref="I5:L5"/>
    <mergeCell ref="I15:L15"/>
    <mergeCell ref="I16:L16"/>
    <mergeCell ref="I17:L17"/>
    <mergeCell ref="I18:L18"/>
    <mergeCell ref="I19:L19"/>
    <mergeCell ref="I9:L9"/>
    <mergeCell ref="I14:L14"/>
    <mergeCell ref="I13:L13"/>
  </mergeCells>
  <pageMargins left="0.25" right="0.25" top="0.75" bottom="0.75" header="0.3" footer="0.3"/>
  <pageSetup paperSize="9" scale="48" fitToHeight="0" orientation="portrait" r:id="rId1"/>
  <headerFooter scaleWithDoc="0">
    <oddFooter>&amp;L&amp;"Arial,Regular"&amp;7Drilling Office 2.10.254.0&amp;R&amp;"Arial,Regular"&amp;7&amp;D &amp;T  Page &amp;P of &amp;N&amp;C&amp;"Arial,Regular"&amp;7 Naaldwijk (Trias Westland)\NLW-GT-02\NLW-GT-02\NLW-GT-02\NLW-GT-02 (LIH) _x000D_&amp;1#&amp;"Calibri"&amp;10 Schlumberger-Private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168</vt:i4>
      </vt:variant>
    </vt:vector>
  </HeadingPairs>
  <TitlesOfParts>
    <vt:vector size="170" baseType="lpstr">
      <vt:lpstr>Sign-Off</vt:lpstr>
      <vt:lpstr>Survey</vt:lpstr>
      <vt:lpstr>AzimuthReference</vt:lpstr>
      <vt:lpstr>'Sign-Off'!BHAZ</vt:lpstr>
      <vt:lpstr>'Sign-Off'!BHEasting</vt:lpstr>
      <vt:lpstr>'Sign-Off'!BHEW</vt:lpstr>
      <vt:lpstr>'Sign-Off'!BHINC</vt:lpstr>
      <vt:lpstr>'Sign-Off'!BHLat</vt:lpstr>
      <vt:lpstr>'Sign-Off'!BHLong</vt:lpstr>
      <vt:lpstr>'Sign-Off'!BHMD</vt:lpstr>
      <vt:lpstr>'Sign-Off'!BHNorthing</vt:lpstr>
      <vt:lpstr>'Sign-Off'!BHNS</vt:lpstr>
      <vt:lpstr>'Sign-Off'!BHTVD</vt:lpstr>
      <vt:lpstr>'Sign-Off'!BHVS</vt:lpstr>
      <vt:lpstr>BoreholeName</vt:lpstr>
      <vt:lpstr>ClientName</vt:lpstr>
      <vt:lpstr>CSName</vt:lpstr>
      <vt:lpstr>Survey!DataRowCenterAlignDark</vt:lpstr>
      <vt:lpstr>Survey!DataRowCenterAlignDarkItalics</vt:lpstr>
      <vt:lpstr>Survey!DataRowCenterAlignLight</vt:lpstr>
      <vt:lpstr>Survey!DataRowCenterAlignLightItalics</vt:lpstr>
      <vt:lpstr>Survey!DataRowCrossCenterLight</vt:lpstr>
      <vt:lpstr>Survey!DataRowLeftAlignDark</vt:lpstr>
      <vt:lpstr>Survey!DataRowLeftAlignDarkItalics</vt:lpstr>
      <vt:lpstr>Survey!DataRowLeftAlignLight</vt:lpstr>
      <vt:lpstr>Survey!DataRowLeftAlignLightItalics</vt:lpstr>
      <vt:lpstr>Survey!DataRowRightAlignDark</vt:lpstr>
      <vt:lpstr>Survey!DataRowRightAlignDark0</vt:lpstr>
      <vt:lpstr>Survey!DataRowRightAlignDark1</vt:lpstr>
      <vt:lpstr>Survey!DataRowRightAlignDark10</vt:lpstr>
      <vt:lpstr>Survey!DataRowRightAlignDark2</vt:lpstr>
      <vt:lpstr>Survey!DataRowRightAlignDark3</vt:lpstr>
      <vt:lpstr>Survey!DataRowRightAlignDark4</vt:lpstr>
      <vt:lpstr>Survey!DataRowRightAlignDark5</vt:lpstr>
      <vt:lpstr>Survey!DataRowRightAlignDark6</vt:lpstr>
      <vt:lpstr>Survey!DataRowRightAlignDark7</vt:lpstr>
      <vt:lpstr>Survey!DataRowRightAlignDark8</vt:lpstr>
      <vt:lpstr>Survey!DataRowRightAlignDark9</vt:lpstr>
      <vt:lpstr>Survey!DataRowRightAlignDarkItalics</vt:lpstr>
      <vt:lpstr>Survey!DataRowRightAlignDarkItalics0</vt:lpstr>
      <vt:lpstr>Survey!DataRowRightAlignDarkItalics1</vt:lpstr>
      <vt:lpstr>Survey!DataRowRightAlignDarkItalics10</vt:lpstr>
      <vt:lpstr>Survey!DataRowRightAlignDarkItalics2</vt:lpstr>
      <vt:lpstr>Survey!DataRowRightAlignDarkItalics3</vt:lpstr>
      <vt:lpstr>Survey!DataRowRightAlignDarkItalics4</vt:lpstr>
      <vt:lpstr>Survey!DataRowRightAlignDarkItalics5</vt:lpstr>
      <vt:lpstr>Survey!DataRowRightAlignDarkItalics6</vt:lpstr>
      <vt:lpstr>Survey!DataRowRightAlignDarkItalics7</vt:lpstr>
      <vt:lpstr>Survey!DataRowRightAlignDarkItalics8</vt:lpstr>
      <vt:lpstr>Survey!DataRowRightAlignDarkItalics9</vt:lpstr>
      <vt:lpstr>Survey!DataRowRightAlignLight</vt:lpstr>
      <vt:lpstr>Survey!DataRowRightAlignLight0</vt:lpstr>
      <vt:lpstr>Survey!DataRowRightAlignLight1</vt:lpstr>
      <vt:lpstr>Survey!DataRowRightAlignLight10</vt:lpstr>
      <vt:lpstr>Survey!DataRowRightAlignLight2</vt:lpstr>
      <vt:lpstr>Survey!DataRowRightAlignLight3</vt:lpstr>
      <vt:lpstr>Survey!DataRowRightAlignLight4</vt:lpstr>
      <vt:lpstr>Survey!DataRowRightAlignLight5</vt:lpstr>
      <vt:lpstr>Survey!DataRowRightAlignLight6</vt:lpstr>
      <vt:lpstr>Survey!DataRowRightAlignLight7</vt:lpstr>
      <vt:lpstr>Survey!DataRowRightAlignLight8</vt:lpstr>
      <vt:lpstr>Survey!DataRowRightAlignLight9</vt:lpstr>
      <vt:lpstr>Survey!DataRowRightAlignLightItalics</vt:lpstr>
      <vt:lpstr>Survey!DataRowRightAlignLightItalics0</vt:lpstr>
      <vt:lpstr>Survey!DataRowRightAlignLightItalics1</vt:lpstr>
      <vt:lpstr>Survey!DataRowRightAlignLightItalics10</vt:lpstr>
      <vt:lpstr>Survey!DataRowRightAlignLightItalics2</vt:lpstr>
      <vt:lpstr>Survey!DataRowRightAlignLightItalics3</vt:lpstr>
      <vt:lpstr>Survey!DataRowRightAlignLightItalics4</vt:lpstr>
      <vt:lpstr>Survey!DataRowRightAlignLightItalics5</vt:lpstr>
      <vt:lpstr>Survey!DataRowRightAlignLightItalics6</vt:lpstr>
      <vt:lpstr>Survey!DataRowRightAlignLightItalics7</vt:lpstr>
      <vt:lpstr>Survey!DataRowRightAlignLightItalics8</vt:lpstr>
      <vt:lpstr>Survey!DataRowRightAlignLightItalics9</vt:lpstr>
      <vt:lpstr>Declination</vt:lpstr>
      <vt:lpstr>DeclinationDate</vt:lpstr>
      <vt:lpstr>DepthUnit</vt:lpstr>
      <vt:lpstr>'Sign-Off'!DF_SPSectionData</vt:lpstr>
      <vt:lpstr>Elevation</vt:lpstr>
      <vt:lpstr>Survey!EmptyRow</vt:lpstr>
      <vt:lpstr>FieldName</vt:lpstr>
      <vt:lpstr>Survey!FloatingStart</vt:lpstr>
      <vt:lpstr>GeomagInfoFirstRow</vt:lpstr>
      <vt:lpstr>GridConvergence</vt:lpstr>
      <vt:lpstr>GroundLevel</vt:lpstr>
      <vt:lpstr>'Sign-Off'!IsDrillingTargetsReqMet</vt:lpstr>
      <vt:lpstr>IsDrillingTargetsReqMetFormula</vt:lpstr>
      <vt:lpstr>JobNo</vt:lpstr>
      <vt:lpstr>LeftLogo</vt:lpstr>
      <vt:lpstr>Survey!Legal</vt:lpstr>
      <vt:lpstr>MagneticModel</vt:lpstr>
      <vt:lpstr>'Sign-Off'!Print_Area</vt:lpstr>
      <vt:lpstr>Survey!Print_Titles</vt:lpstr>
      <vt:lpstr>'Sign-Off'!ProjectionType</vt:lpstr>
      <vt:lpstr>'Sign-Off'!RefAZ</vt:lpstr>
      <vt:lpstr>'Sign-Off'!RefEasting</vt:lpstr>
      <vt:lpstr>'Sign-Off'!RefEW</vt:lpstr>
      <vt:lpstr>'Sign-Off'!RefINC</vt:lpstr>
      <vt:lpstr>'Sign-Off'!RefLat</vt:lpstr>
      <vt:lpstr>'Sign-Off'!RefLong</vt:lpstr>
      <vt:lpstr>'Sign-Off'!RefMD</vt:lpstr>
      <vt:lpstr>'Sign-Off'!RefNorthing</vt:lpstr>
      <vt:lpstr>'Sign-Off'!RefNS</vt:lpstr>
      <vt:lpstr>'Sign-Off'!RefTVD</vt:lpstr>
      <vt:lpstr>'Sign-Off'!RefVS</vt:lpstr>
      <vt:lpstr>ReportDate</vt:lpstr>
      <vt:lpstr>RightLogo</vt:lpstr>
      <vt:lpstr>Survey!Rpt_API_Number</vt:lpstr>
      <vt:lpstr>Survey!Rpt_BoreholeName</vt:lpstr>
      <vt:lpstr>Survey!Rpt_Client</vt:lpstr>
      <vt:lpstr>Survey!Rpt_CoordinateReference</vt:lpstr>
      <vt:lpstr>Survey!Rpt_CoordinateSystem</vt:lpstr>
      <vt:lpstr>Survey!Rpt_Date</vt:lpstr>
      <vt:lpstr>Survey!Rpt_DipAngle</vt:lpstr>
      <vt:lpstr>Survey!Rpt_DrillSiteOrWellPad</vt:lpstr>
      <vt:lpstr>Survey!Rpt_Elevation</vt:lpstr>
      <vt:lpstr>Survey!Rpt_ElevationReference</vt:lpstr>
      <vt:lpstr>Survey!Rpt_FieldName</vt:lpstr>
      <vt:lpstr>Survey!Rpt_FieldStrength</vt:lpstr>
      <vt:lpstr>Survey!Rpt_GeodeticLocation</vt:lpstr>
      <vt:lpstr>Survey!Rpt_Gravity</vt:lpstr>
      <vt:lpstr>Rpt_GravityModel</vt:lpstr>
      <vt:lpstr>Survey!Rpt_GridConvergence</vt:lpstr>
      <vt:lpstr>Survey!Rpt_GridCorrection</vt:lpstr>
      <vt:lpstr>Survey!Rpt_GridLocation</vt:lpstr>
      <vt:lpstr>Survey!Rpt_GroundLevelElevation</vt:lpstr>
      <vt:lpstr>Survey!Rpt_MagneticDeclDate</vt:lpstr>
      <vt:lpstr>Survey!Rpt_MagneticDeclination</vt:lpstr>
      <vt:lpstr>Survey!Rpt_MagneticDeclModel</vt:lpstr>
      <vt:lpstr>Survey!Rpt_NorthReference</vt:lpstr>
      <vt:lpstr>Survey!Rpt_ScaleFactor</vt:lpstr>
      <vt:lpstr>Survey!Rpt_SurveyCompMethod</vt:lpstr>
      <vt:lpstr>Survey!Rpt_SurveyDate</vt:lpstr>
      <vt:lpstr>Survey!Rpt_SurveyName</vt:lpstr>
      <vt:lpstr>Survey!Rpt_SurveyStats</vt:lpstr>
      <vt:lpstr>Survey!Rpt_Title</vt:lpstr>
      <vt:lpstr>Survey!Rpt_Title2</vt:lpstr>
      <vt:lpstr>Survey!Rpt_TotalCorrection</vt:lpstr>
      <vt:lpstr>Survey!Rpt_TotalCorrectionLabel</vt:lpstr>
      <vt:lpstr>Survey!Rpt_Version</vt:lpstr>
      <vt:lpstr>Survey!Rpt_VSEC_Azim</vt:lpstr>
      <vt:lpstr>Survey!Rpt_VSEC_Origin</vt:lpstr>
      <vt:lpstr>Survey!Rpt_WellName</vt:lpstr>
      <vt:lpstr>SlotEasting</vt:lpstr>
      <vt:lpstr>SlotLat</vt:lpstr>
      <vt:lpstr>SlotLong</vt:lpstr>
      <vt:lpstr>SlotNorthing</vt:lpstr>
      <vt:lpstr>SlotUnc</vt:lpstr>
      <vt:lpstr>StructureEasting</vt:lpstr>
      <vt:lpstr>StructureLat</vt:lpstr>
      <vt:lpstr>StructureLong</vt:lpstr>
      <vt:lpstr>StructureNorthing</vt:lpstr>
      <vt:lpstr>StructureSlot</vt:lpstr>
      <vt:lpstr>StructureUnc</vt:lpstr>
      <vt:lpstr>SurveyDate</vt:lpstr>
      <vt:lpstr>SurveyName</vt:lpstr>
      <vt:lpstr>Survey!SurveyProgramFormatA</vt:lpstr>
      <vt:lpstr>Survey!SurveyProgramFormatB</vt:lpstr>
      <vt:lpstr>Survey!SurveyProgramHeader</vt:lpstr>
      <vt:lpstr>SurveyTypeFormula</vt:lpstr>
      <vt:lpstr>Survey!TableHeaderCenter</vt:lpstr>
      <vt:lpstr>Survey!TableHeaderCrossCenter</vt:lpstr>
      <vt:lpstr>Survey!TableHeaderCrossRight</vt:lpstr>
      <vt:lpstr>Survey!TableHeaderLeft</vt:lpstr>
      <vt:lpstr>Survey!TableHeaderRight</vt:lpstr>
      <vt:lpstr>TotalCorrection</vt:lpstr>
      <vt:lpstr>VerticalReference</vt:lpstr>
      <vt:lpstr>VSAzimuth</vt:lpstr>
      <vt:lpstr>VSOrigin</vt:lpstr>
      <vt:lpstr>WellName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2018-05-18T08:00:20Z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Ref">
    <vt:lpwstr>https://api.informationprotection.azure.com/api/41ff26dc-250f-4b13-8981-739be8610c21</vt:lpwstr>
  </property>
  <property fmtid="{D5CDD505-2E9C-101B-9397-08002B2CF9AE}" pid="5" name="MSIP_Label_585f1f62-8d2b-4457-869c-0a13c6549635_Owner">
    <vt:lpwstr>TMatviykiv@slb.com</vt:lpwstr>
  </property>
  <property fmtid="{D5CDD505-2E9C-101B-9397-08002B2CF9AE}" pid="6" name="MSIP_Label_585f1f62-8d2b-4457-869c-0a13c6549635_SetDate">
    <vt:lpwstr>2018-05-18T09:59:04.8886590+02:00</vt:lpwstr>
  </property>
  <property fmtid="{D5CDD505-2E9C-101B-9397-08002B2CF9AE}" pid="7" name="MSIP_Label_585f1f62-8d2b-4457-869c-0a13c6549635_Name">
    <vt:lpwstr>Private</vt:lpwstr>
  </property>
  <property fmtid="{D5CDD505-2E9C-101B-9397-08002B2CF9AE}" pid="8" name="MSIP_Label_585f1f62-8d2b-4457-869c-0a13c6549635_Application">
    <vt:lpwstr>Microsoft Azure Information Protection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Ref">
    <vt:lpwstr>https://api.informationprotection.azure.com/api/41ff26dc-250f-4b13-8981-739be8610c21</vt:lpwstr>
  </property>
  <property fmtid="{D5CDD505-2E9C-101B-9397-08002B2CF9AE}" pid="13" name="MSIP_Label_8bb759f6-5337-4dc5-b19b-e74b6da11f8f_Owner">
    <vt:lpwstr>TMatviykiv@slb.com</vt:lpwstr>
  </property>
  <property fmtid="{D5CDD505-2E9C-101B-9397-08002B2CF9AE}" pid="14" name="MSIP_Label_8bb759f6-5337-4dc5-b19b-e74b6da11f8f_SetDate">
    <vt:lpwstr>2018-05-18T09:59:04.8886590+02:00</vt:lpwstr>
  </property>
  <property fmtid="{D5CDD505-2E9C-101B-9397-08002B2CF9AE}" pid="15" name="MSIP_Label_8bb759f6-5337-4dc5-b19b-e74b6da11f8f_Name">
    <vt:lpwstr>Internal</vt:lpwstr>
  </property>
  <property fmtid="{D5CDD505-2E9C-101B-9397-08002B2CF9AE}" pid="16" name="MSIP_Label_8bb759f6-5337-4dc5-b19b-e74b6da11f8f_Application">
    <vt:lpwstr>Microsoft Azure Information Protection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