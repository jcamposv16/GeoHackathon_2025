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filterPrivacy="1" codeName="ThisWorkbook" defaultThemeVersion="124226"/>
  <xr:revisionPtr revIDLastSave="0" documentId="13_ncr:1_{2D238033-8B1A-456F-98CB-5EF32FFF1BAF}" xr6:coauthVersionLast="32" xr6:coauthVersionMax="32" xr10:uidLastSave="{00000000-0000-0000-0000-000000000000}"/>
  <bookViews>
    <workbookView xWindow="0" yWindow="0" windowWidth="28800" windowHeight="14160" activeTab="1" xr2:uid="{00000000-000D-0000-FFFF-FFFF00000000}"/>
  </bookViews>
  <sheets>
    <sheet name="Sign-Off" sheetId="1" r:id="rId1"/>
    <sheet name="Survey" sheetId="2" r:id="rId2"/>
    <sheet name="EOU" sheetId="4" r:id="rId3"/>
    <sheet name="Plan vs. Actual" sheetId="3" r:id="rId4"/>
  </sheets>
  <definedNames>
    <definedName name="AzimuthReference">'Sign-Off'!$J$11:$K$11</definedName>
    <definedName name="BHAZ" localSheetId="0">'Sign-Off'!$C$32:$C$32</definedName>
    <definedName name="BHEasting" localSheetId="0">'Sign-Off'!$I$32:$I$32</definedName>
    <definedName name="BHEW" localSheetId="0">'Sign-Off'!$G$32:$G$32</definedName>
    <definedName name="BHINC" localSheetId="0">'Sign-Off'!$B$32:$B$32</definedName>
    <definedName name="BHLat" localSheetId="0">'Sign-Off'!$J$32:$J$32</definedName>
    <definedName name="BHLong" localSheetId="0">'Sign-Off'!$K$32:$K$32</definedName>
    <definedName name="BHMD" localSheetId="0">'Sign-Off'!$A$32:$A$32</definedName>
    <definedName name="BHNorthing" localSheetId="0">'Sign-Off'!$H$32:$H$32</definedName>
    <definedName name="BHNS" localSheetId="0">'Sign-Off'!$F$32:$F$32</definedName>
    <definedName name="BHTVD" localSheetId="0">'Sign-Off'!$D$32:$D$32</definedName>
    <definedName name="BHVS" localSheetId="0">'Sign-Off'!$E$32:$E$32</definedName>
    <definedName name="BoreholeName">'Sign-Off'!$J$6:$K$6</definedName>
    <definedName name="ClientName">'Sign-Off'!$B$5:$B$5</definedName>
    <definedName name="CSName">'Sign-Off'!$C$14:$C$14</definedName>
    <definedName name="DataRowCenterAlignDark" localSheetId="2">EOU!$L$25</definedName>
    <definedName name="DataRowCenterAlignDark" localSheetId="1">Survey!$L$25</definedName>
    <definedName name="DataRowCenterAlignDark">#REF!</definedName>
    <definedName name="DataRowCenterAlignDarkItalics" localSheetId="2">EOU!$L$27</definedName>
    <definedName name="DataRowCenterAlignDarkItalics" localSheetId="1">Survey!$L$27</definedName>
    <definedName name="DataRowCenterAlignDarkItalics">#REF!</definedName>
    <definedName name="DataRowCenterAlignLight" localSheetId="2">EOU!$L$24</definedName>
    <definedName name="DataRowCenterAlignLight" localSheetId="1">Survey!$L$24</definedName>
    <definedName name="DataRowCenterAlignLight">#REF!</definedName>
    <definedName name="DataRowCenterAlignLightItalics" localSheetId="2">EOU!$L$26</definedName>
    <definedName name="DataRowCenterAlignLightItalics" localSheetId="1">Survey!$L$26</definedName>
    <definedName name="DataRowCenterAlignLightItalics">#REF!</definedName>
    <definedName name="DataRowCrossCenterLight" localSheetId="2">EOU!$E$53</definedName>
    <definedName name="DataRowCrossCenterLight" localSheetId="1">Survey!$E$53</definedName>
    <definedName name="DataRowCrossCenterLight">#REF!</definedName>
    <definedName name="DataRowLeftAlignDark" localSheetId="2">EOU!$A$25</definedName>
    <definedName name="DataRowLeftAlignDark" localSheetId="1">Survey!$A$25</definedName>
    <definedName name="DataRowLeftAlignDark">#REF!</definedName>
    <definedName name="DataRowLeftAlignDarkItalics" localSheetId="2">EOU!$A$27</definedName>
    <definedName name="DataRowLeftAlignDarkItalics" localSheetId="1">Survey!$A$27</definedName>
    <definedName name="DataRowLeftAlignDarkItalics">#REF!</definedName>
    <definedName name="DataRowLeftAlignLight" localSheetId="2">EOU!$A$24</definedName>
    <definedName name="DataRowLeftAlignLight" localSheetId="1">Survey!$A$24</definedName>
    <definedName name="DataRowLeftAlignLight">#REF!</definedName>
    <definedName name="DataRowLeftAlignLightItalics" localSheetId="2">EOU!$A$26</definedName>
    <definedName name="DataRowLeftAlignLightItalics" localSheetId="1">Survey!$A$26</definedName>
    <definedName name="DataRowLeftAlignLightItalics">#REF!</definedName>
    <definedName name="DataRowRightAlignDark" localSheetId="2">EOU!$B$25</definedName>
    <definedName name="DataRowRightAlignDark" localSheetId="1">Survey!$B$25</definedName>
    <definedName name="DataRowRightAlignDark">#REF!</definedName>
    <definedName name="DataRowRightAlignDark0" localSheetId="2">EOU!$B$27</definedName>
    <definedName name="DataRowRightAlignDark0" localSheetId="1">Survey!$B$27</definedName>
    <definedName name="DataRowRightAlignDark0">#REF!</definedName>
    <definedName name="DataRowRightAlignDark1" localSheetId="2">EOU!$B$29</definedName>
    <definedName name="DataRowRightAlignDark1" localSheetId="1">Survey!$B$29</definedName>
    <definedName name="DataRowRightAlignDark1">#REF!</definedName>
    <definedName name="DataRowRightAlignDark10" localSheetId="2">EOU!$B$47</definedName>
    <definedName name="DataRowRightAlignDark10" localSheetId="1">Survey!$B$47</definedName>
    <definedName name="DataRowRightAlignDark10">#REF!</definedName>
    <definedName name="DataRowRightAlignDark2" localSheetId="2">EOU!$B$31</definedName>
    <definedName name="DataRowRightAlignDark2" localSheetId="1">Survey!$B$31</definedName>
    <definedName name="DataRowRightAlignDark2">#REF!</definedName>
    <definedName name="DataRowRightAlignDark3" localSheetId="2">EOU!$B$33</definedName>
    <definedName name="DataRowRightAlignDark3" localSheetId="1">Survey!$B$33</definedName>
    <definedName name="DataRowRightAlignDark3">#REF!</definedName>
    <definedName name="DataRowRightAlignDark4" localSheetId="2">EOU!$B$35</definedName>
    <definedName name="DataRowRightAlignDark4" localSheetId="1">Survey!$B$35</definedName>
    <definedName name="DataRowRightAlignDark4">#REF!</definedName>
    <definedName name="DataRowRightAlignDark5" localSheetId="2">EOU!$B$37</definedName>
    <definedName name="DataRowRightAlignDark5" localSheetId="1">Survey!$B$37</definedName>
    <definedName name="DataRowRightAlignDark5">#REF!</definedName>
    <definedName name="DataRowRightAlignDark6" localSheetId="2">EOU!$B$39</definedName>
    <definedName name="DataRowRightAlignDark6" localSheetId="1">Survey!$B$39</definedName>
    <definedName name="DataRowRightAlignDark6">#REF!</definedName>
    <definedName name="DataRowRightAlignDark7" localSheetId="2">EOU!$B$41</definedName>
    <definedName name="DataRowRightAlignDark7" localSheetId="1">Survey!$B$41</definedName>
    <definedName name="DataRowRightAlignDark7">#REF!</definedName>
    <definedName name="DataRowRightAlignDark8" localSheetId="2">EOU!$B$43</definedName>
    <definedName name="DataRowRightAlignDark8" localSheetId="1">Survey!$B$43</definedName>
    <definedName name="DataRowRightAlignDark8">#REF!</definedName>
    <definedName name="DataRowRightAlignDark9" localSheetId="2">EOU!$B$45</definedName>
    <definedName name="DataRowRightAlignDark9" localSheetId="1">Survey!$B$45</definedName>
    <definedName name="DataRowRightAlignDark9">#REF!</definedName>
    <definedName name="DataRowRightAlignDarkItalics" localSheetId="2">EOU!$M$25</definedName>
    <definedName name="DataRowRightAlignDarkItalics" localSheetId="1">Survey!$M$25</definedName>
    <definedName name="DataRowRightAlignDarkItalics">#REF!</definedName>
    <definedName name="DataRowRightAlignDarkItalics0" localSheetId="2">EOU!$M$27</definedName>
    <definedName name="DataRowRightAlignDarkItalics0" localSheetId="1">Survey!$M$27</definedName>
    <definedName name="DataRowRightAlignDarkItalics0">#REF!</definedName>
    <definedName name="DataRowRightAlignDarkItalics1" localSheetId="2">EOU!$M$29</definedName>
    <definedName name="DataRowRightAlignDarkItalics1" localSheetId="1">Survey!$M$29</definedName>
    <definedName name="DataRowRightAlignDarkItalics1">#REF!</definedName>
    <definedName name="DataRowRightAlignDarkItalics10" localSheetId="2">EOU!$M$47</definedName>
    <definedName name="DataRowRightAlignDarkItalics10" localSheetId="1">Survey!$M$47</definedName>
    <definedName name="DataRowRightAlignDarkItalics10">#REF!</definedName>
    <definedName name="DataRowRightAlignDarkItalics2" localSheetId="2">EOU!$M$31</definedName>
    <definedName name="DataRowRightAlignDarkItalics2" localSheetId="1">Survey!$M$31</definedName>
    <definedName name="DataRowRightAlignDarkItalics2">#REF!</definedName>
    <definedName name="DataRowRightAlignDarkItalics3" localSheetId="2">EOU!$M$33</definedName>
    <definedName name="DataRowRightAlignDarkItalics3" localSheetId="1">Survey!$M$33</definedName>
    <definedName name="DataRowRightAlignDarkItalics3">#REF!</definedName>
    <definedName name="DataRowRightAlignDarkItalics4" localSheetId="2">EOU!$M$35</definedName>
    <definedName name="DataRowRightAlignDarkItalics4" localSheetId="1">Survey!$M$35</definedName>
    <definedName name="DataRowRightAlignDarkItalics4">#REF!</definedName>
    <definedName name="DataRowRightAlignDarkItalics5" localSheetId="2">EOU!$M$37</definedName>
    <definedName name="DataRowRightAlignDarkItalics5" localSheetId="1">Survey!$M$37</definedName>
    <definedName name="DataRowRightAlignDarkItalics5">#REF!</definedName>
    <definedName name="DataRowRightAlignDarkItalics6" localSheetId="2">EOU!$M$39</definedName>
    <definedName name="DataRowRightAlignDarkItalics6" localSheetId="1">Survey!$M$39</definedName>
    <definedName name="DataRowRightAlignDarkItalics6">#REF!</definedName>
    <definedName name="DataRowRightAlignDarkItalics7" localSheetId="2">EOU!$M$41</definedName>
    <definedName name="DataRowRightAlignDarkItalics7" localSheetId="1">Survey!$M$41</definedName>
    <definedName name="DataRowRightAlignDarkItalics7">#REF!</definedName>
    <definedName name="DataRowRightAlignDarkItalics8" localSheetId="2">EOU!$M$43</definedName>
    <definedName name="DataRowRightAlignDarkItalics8" localSheetId="1">Survey!$M$43</definedName>
    <definedName name="DataRowRightAlignDarkItalics8">#REF!</definedName>
    <definedName name="DataRowRightAlignDarkItalics9" localSheetId="2">EOU!$M$45</definedName>
    <definedName name="DataRowRightAlignDarkItalics9" localSheetId="1">Survey!$M$45</definedName>
    <definedName name="DataRowRightAlignDarkItalics9">#REF!</definedName>
    <definedName name="DataRowRightAlignLight" localSheetId="2">EOU!$B$24</definedName>
    <definedName name="DataRowRightAlignLight" localSheetId="1">Survey!$B$24</definedName>
    <definedName name="DataRowRightAlignLight">#REF!</definedName>
    <definedName name="DataRowRightAlignLight0" localSheetId="2">EOU!$B$26</definedName>
    <definedName name="DataRowRightAlignLight0" localSheetId="1">Survey!$B$26</definedName>
    <definedName name="DataRowRightAlignLight0">#REF!</definedName>
    <definedName name="DataRowRightAlignLight1" localSheetId="2">EOU!$B$28</definedName>
    <definedName name="DataRowRightAlignLight1" localSheetId="1">Survey!$B$28</definedName>
    <definedName name="DataRowRightAlignLight1">#REF!</definedName>
    <definedName name="DataRowRightAlignLight10" localSheetId="2">EOU!$B$46</definedName>
    <definedName name="DataRowRightAlignLight10" localSheetId="1">Survey!$B$46</definedName>
    <definedName name="DataRowRightAlignLight10">#REF!</definedName>
    <definedName name="DataRowRightAlignLight2" localSheetId="2">EOU!$B$30</definedName>
    <definedName name="DataRowRightAlignLight2" localSheetId="1">Survey!$B$30</definedName>
    <definedName name="DataRowRightAlignLight2">#REF!</definedName>
    <definedName name="DataRowRightAlignLight3" localSheetId="2">EOU!$B$32</definedName>
    <definedName name="DataRowRightAlignLight3" localSheetId="1">Survey!$B$32</definedName>
    <definedName name="DataRowRightAlignLight3">#REF!</definedName>
    <definedName name="DataRowRightAlignLight4" localSheetId="2">EOU!$B$34</definedName>
    <definedName name="DataRowRightAlignLight4" localSheetId="1">Survey!$B$34</definedName>
    <definedName name="DataRowRightAlignLight4">#REF!</definedName>
    <definedName name="DataRowRightAlignLight5" localSheetId="2">EOU!$B$36</definedName>
    <definedName name="DataRowRightAlignLight5" localSheetId="1">Survey!$B$36</definedName>
    <definedName name="DataRowRightAlignLight5">#REF!</definedName>
    <definedName name="DataRowRightAlignLight6" localSheetId="2">EOU!$B$38</definedName>
    <definedName name="DataRowRightAlignLight6" localSheetId="1">Survey!$B$38</definedName>
    <definedName name="DataRowRightAlignLight6">#REF!</definedName>
    <definedName name="DataRowRightAlignLight7" localSheetId="2">EOU!$B$40</definedName>
    <definedName name="DataRowRightAlignLight7" localSheetId="1">Survey!$B$40</definedName>
    <definedName name="DataRowRightAlignLight7">#REF!</definedName>
    <definedName name="DataRowRightAlignLight8" localSheetId="2">EOU!$B$42</definedName>
    <definedName name="DataRowRightAlignLight8" localSheetId="1">Survey!$B$42</definedName>
    <definedName name="DataRowRightAlignLight8">#REF!</definedName>
    <definedName name="DataRowRightAlignLight9" localSheetId="2">EOU!$B$44</definedName>
    <definedName name="DataRowRightAlignLight9" localSheetId="1">Survey!$B$44</definedName>
    <definedName name="DataRowRightAlignLight9">#REF!</definedName>
    <definedName name="DataRowRightAlignLightItalics" localSheetId="2">EOU!$M$24</definedName>
    <definedName name="DataRowRightAlignLightItalics" localSheetId="1">Survey!$M$24</definedName>
    <definedName name="DataRowRightAlignLightItalics">#REF!</definedName>
    <definedName name="DataRowRightAlignLightItalics0" localSheetId="2">EOU!$M$26</definedName>
    <definedName name="DataRowRightAlignLightItalics0" localSheetId="1">Survey!$M$26</definedName>
    <definedName name="DataRowRightAlignLightItalics0">#REF!</definedName>
    <definedName name="DataRowRightAlignLightItalics1" localSheetId="2">EOU!$M$28</definedName>
    <definedName name="DataRowRightAlignLightItalics1" localSheetId="1">Survey!$M$28</definedName>
    <definedName name="DataRowRightAlignLightItalics1">#REF!</definedName>
    <definedName name="DataRowRightAlignLightItalics10" localSheetId="2">EOU!$M$46</definedName>
    <definedName name="DataRowRightAlignLightItalics10" localSheetId="1">Survey!$M$46</definedName>
    <definedName name="DataRowRightAlignLightItalics10">#REF!</definedName>
    <definedName name="DataRowRightAlignLightItalics2" localSheetId="2">EOU!$M$30</definedName>
    <definedName name="DataRowRightAlignLightItalics2" localSheetId="1">Survey!$M$30</definedName>
    <definedName name="DataRowRightAlignLightItalics2">#REF!</definedName>
    <definedName name="DataRowRightAlignLightItalics3" localSheetId="2">EOU!$M$32</definedName>
    <definedName name="DataRowRightAlignLightItalics3" localSheetId="1">Survey!$M$32</definedName>
    <definedName name="DataRowRightAlignLightItalics3">#REF!</definedName>
    <definedName name="DataRowRightAlignLightItalics4" localSheetId="2">EOU!$M$34</definedName>
    <definedName name="DataRowRightAlignLightItalics4" localSheetId="1">Survey!$M$34</definedName>
    <definedName name="DataRowRightAlignLightItalics4">#REF!</definedName>
    <definedName name="DataRowRightAlignLightItalics5" localSheetId="2">EOU!$M$36</definedName>
    <definedName name="DataRowRightAlignLightItalics5" localSheetId="1">Survey!$M$36</definedName>
    <definedName name="DataRowRightAlignLightItalics5">#REF!</definedName>
    <definedName name="DataRowRightAlignLightItalics6" localSheetId="2">EOU!$M$38</definedName>
    <definedName name="DataRowRightAlignLightItalics6" localSheetId="1">Survey!$M$38</definedName>
    <definedName name="DataRowRightAlignLightItalics6">#REF!</definedName>
    <definedName name="DataRowRightAlignLightItalics7" localSheetId="2">EOU!$M$40</definedName>
    <definedName name="DataRowRightAlignLightItalics7" localSheetId="1">Survey!$M$40</definedName>
    <definedName name="DataRowRightAlignLightItalics7">#REF!</definedName>
    <definedName name="DataRowRightAlignLightItalics8" localSheetId="2">EOU!$M$42</definedName>
    <definedName name="DataRowRightAlignLightItalics8" localSheetId="1">Survey!$M$42</definedName>
    <definedName name="DataRowRightAlignLightItalics8">#REF!</definedName>
    <definedName name="DataRowRightAlignLightItalics9" localSheetId="2">EOU!$M$44</definedName>
    <definedName name="DataRowRightAlignLightItalics9" localSheetId="1">Survey!$M$44</definedName>
    <definedName name="DataRowRightAlignLightItalics9">#REF!</definedName>
    <definedName name="Declination">'Sign-Off'!$J$13:$K$13</definedName>
    <definedName name="DeclinationDate">'Sign-Off'!$K$12:$K$12</definedName>
    <definedName name="DepthUnit">'Sign-Off'!$J$9:$J$9</definedName>
    <definedName name="DF_SPSectionData" localSheetId="0">'Sign-Off'!$A$20:$J$25</definedName>
    <definedName name="Elevation">'Sign-Off'!$C$16:$F$16</definedName>
    <definedName name="EmptyRow" localSheetId="2">EOU!$A$26</definedName>
    <definedName name="EmptyRow" localSheetId="1">Survey!$A$26</definedName>
    <definedName name="EmptyRow">#REF!</definedName>
    <definedName name="FieldName">'Sign-Off'!$B$6:$B$6</definedName>
    <definedName name="FloatingStart" localSheetId="2">EOU!$E$23</definedName>
    <definedName name="FloatingStart" localSheetId="1">Survey!$E$23</definedName>
    <definedName name="FloatingStart">#REF!</definedName>
    <definedName name="GeomagInfoFirstRow" localSheetId="2">EOU!$A$55</definedName>
    <definedName name="GeomagInfoFirstRow">Survey!$A$55</definedName>
    <definedName name="GridConvergence">'Sign-Off'!$J$14:$K$14</definedName>
    <definedName name="GroundLevel">'Sign-Off'!$C$17:$C$17</definedName>
    <definedName name="IsDrillingTargetsReqMet" localSheetId="0">'Sign-Off'!$J$40:$J$40</definedName>
    <definedName name="IsDrillingTargetsReqMetFormula">'Sign-Off'!$L$7:$L$10</definedName>
    <definedName name="JobNo">'Sign-Off'!$G$5:$G$5</definedName>
    <definedName name="LeftLogo">'Sign-Off'!$A$2:$D$2</definedName>
    <definedName name="Legal" localSheetId="2">EOU!$A$56</definedName>
    <definedName name="Legal" localSheetId="1">Survey!$A$56</definedName>
    <definedName name="Legal">#REF!</definedName>
    <definedName name="MagneticModel">'Sign-Off'!$J$12:$J$12</definedName>
    <definedName name="_xlnm.Print_Area" localSheetId="0">'Sign-Off'!$A$1:$K$54</definedName>
    <definedName name="_xlnm.Print_Titles" localSheetId="2">EOU!$23:$23</definedName>
    <definedName name="_xlnm.Print_Titles" localSheetId="1">Survey!$23:$23</definedName>
    <definedName name="ProjectionType" localSheetId="0">'Sign-Off'!$I$26:$I$26</definedName>
    <definedName name="RefAZ" localSheetId="0">'Sign-Off'!$C$29:$C$29</definedName>
    <definedName name="RefEasting" localSheetId="0">'Sign-Off'!$I$29:$I$29</definedName>
    <definedName name="ReferenceEasting">'Sign-Off'!#REF!</definedName>
    <definedName name="ReferenceNorthing">'Sign-Off'!#REF!</definedName>
    <definedName name="RefEW" localSheetId="0">'Sign-Off'!$G$29:$G$29</definedName>
    <definedName name="RefINC" localSheetId="0">'Sign-Off'!$B$29:$B$29</definedName>
    <definedName name="RefLat" localSheetId="0">'Sign-Off'!$J$29:$J$29</definedName>
    <definedName name="RefLong" localSheetId="0">'Sign-Off'!$K$29:$K$29</definedName>
    <definedName name="RefMD" localSheetId="0">'Sign-Off'!$A$29:$A$29</definedName>
    <definedName name="RefNorthing" localSheetId="0">'Sign-Off'!$H$29:$H$29</definedName>
    <definedName name="RefNS" localSheetId="0">'Sign-Off'!$F$29:$F$29</definedName>
    <definedName name="RefTVD" localSheetId="0">'Sign-Off'!$D$29:$D$29</definedName>
    <definedName name="RefVS" localSheetId="0">'Sign-Off'!$E$29:$E$29</definedName>
    <definedName name="ReportDate">'Sign-Off'!$J$5:$J$5</definedName>
    <definedName name="RightLogo">'Sign-Off'!$H$2:$K$2</definedName>
    <definedName name="Rpt_API_Number" localSheetId="2">EOU!$C$11</definedName>
    <definedName name="Rpt_API_Number" localSheetId="1">Survey!$C$11</definedName>
    <definedName name="Rpt_API_Number">#REF!</definedName>
    <definedName name="Rpt_BoreholeName" localSheetId="2">EOU!$C$10</definedName>
    <definedName name="Rpt_BoreholeName" localSheetId="1">Survey!$C$10</definedName>
    <definedName name="Rpt_BoreholeName">#REF!</definedName>
    <definedName name="Rpt_Client" localSheetId="2">EOU!$C$6</definedName>
    <definedName name="Rpt_Client" localSheetId="1">Survey!$C$6</definedName>
    <definedName name="Rpt_Client">#REF!</definedName>
    <definedName name="Rpt_CoordinateReference" localSheetId="2">EOU!$I$21</definedName>
    <definedName name="Rpt_CoordinateReference" localSheetId="1">Survey!$I$21</definedName>
    <definedName name="Rpt_CoordinateReference">#REF!</definedName>
    <definedName name="Rpt_CoordinateSystem" localSheetId="2">EOU!$C$15</definedName>
    <definedName name="Rpt_CoordinateSystem" localSheetId="1">Survey!$C$15</definedName>
    <definedName name="Rpt_CoordinateSystem">#REF!</definedName>
    <definedName name="Rpt_Date" localSheetId="2">EOU!$C$5</definedName>
    <definedName name="Rpt_Date" localSheetId="1">Survey!$C$5</definedName>
    <definedName name="Rpt_Date">#REF!</definedName>
    <definedName name="Rpt_DipAngle" localSheetId="2">EOU!$I$15</definedName>
    <definedName name="Rpt_DipAngle" localSheetId="1">Survey!$I$15</definedName>
    <definedName name="Rpt_DipAngle">#REF!</definedName>
    <definedName name="Rpt_DrillSiteOrWellPad" localSheetId="2">EOU!$C$8</definedName>
    <definedName name="Rpt_DrillSiteOrWellPad" localSheetId="1">Survey!$C$8</definedName>
    <definedName name="Rpt_DrillSiteOrWellPad">#REF!</definedName>
    <definedName name="Rpt_Elevation" localSheetId="2">EOU!$I$9</definedName>
    <definedName name="Rpt_Elevation" localSheetId="1">Survey!$I$9</definedName>
    <definedName name="Rpt_Elevation">#REF!</definedName>
    <definedName name="Rpt_ElevationReference" localSheetId="2">EOU!$I$8</definedName>
    <definedName name="Rpt_ElevationReference" localSheetId="1">Survey!$I$8</definedName>
    <definedName name="Rpt_ElevationReference">#REF!</definedName>
    <definedName name="Rpt_FieldName" localSheetId="2">EOU!$C$7</definedName>
    <definedName name="Rpt_FieldName" localSheetId="1">Survey!$C$7</definedName>
    <definedName name="Rpt_FieldName">#REF!</definedName>
    <definedName name="Rpt_FieldStrength" localSheetId="2">EOU!$I$14</definedName>
    <definedName name="Rpt_FieldStrength" localSheetId="1">Survey!$I$14</definedName>
    <definedName name="Rpt_FieldStrength">#REF!</definedName>
    <definedName name="Rpt_GeodeticLocation" localSheetId="2">EOU!$C$16</definedName>
    <definedName name="Rpt_GeodeticLocation" localSheetId="1">Survey!$C$16</definedName>
    <definedName name="Rpt_GeodeticLocation">#REF!</definedName>
    <definedName name="Rpt_Gravity" localSheetId="2">EOU!$I$12</definedName>
    <definedName name="Rpt_Gravity" localSheetId="1">Survey!$I$12</definedName>
    <definedName name="Rpt_Gravity">#REF!</definedName>
    <definedName name="Rpt_GravityModel" localSheetId="2">EOU!$I$13</definedName>
    <definedName name="Rpt_GravityModel">Survey!$I$13</definedName>
    <definedName name="Rpt_GridConvergence" localSheetId="2">EOU!$C$18</definedName>
    <definedName name="Rpt_GridConvergence" localSheetId="1">Survey!$C$18</definedName>
    <definedName name="Rpt_GridConvergence">#REF!</definedName>
    <definedName name="Rpt_GridCorrection" localSheetId="2">EOU!$I$19</definedName>
    <definedName name="Rpt_GridCorrection" localSheetId="1">Survey!$I$19</definedName>
    <definedName name="Rpt_GridCorrection">#REF!</definedName>
    <definedName name="Rpt_GridLocation" localSheetId="2">EOU!$C$17</definedName>
    <definedName name="Rpt_GridLocation" localSheetId="1">Survey!$C$17</definedName>
    <definedName name="Rpt_GridLocation">#REF!</definedName>
    <definedName name="Rpt_GroundLevelElevation" localSheetId="2">EOU!$I$10</definedName>
    <definedName name="Rpt_GroundLevelElevation" localSheetId="1">Survey!$I$10</definedName>
    <definedName name="Rpt_GroundLevelElevation">#REF!</definedName>
    <definedName name="Rpt_MagneticDeclDate" localSheetId="2">EOU!$I$16</definedName>
    <definedName name="Rpt_MagneticDeclDate" localSheetId="1">Survey!$I$16</definedName>
    <definedName name="Rpt_MagneticDeclDate">#REF!</definedName>
    <definedName name="Rpt_MagneticDeclination" localSheetId="2">EOU!$I$11</definedName>
    <definedName name="Rpt_MagneticDeclination" localSheetId="1">Survey!$I$11</definedName>
    <definedName name="Rpt_MagneticDeclination">#REF!</definedName>
    <definedName name="Rpt_MagneticDeclModel" localSheetId="2">EOU!$I$17</definedName>
    <definedName name="Rpt_MagneticDeclModel" localSheetId="1">Survey!$I$17</definedName>
    <definedName name="Rpt_MagneticDeclModel">#REF!</definedName>
    <definedName name="Rpt_NorthReference" localSheetId="2">EOU!$I$18</definedName>
    <definedName name="Rpt_NorthReference" localSheetId="1">Survey!$I$18</definedName>
    <definedName name="Rpt_NorthReference">#REF!</definedName>
    <definedName name="Rpt_ScaleFactor" localSheetId="2">EOU!$C$19</definedName>
    <definedName name="Rpt_ScaleFactor" localSheetId="1">Survey!$C$19</definedName>
    <definedName name="Rpt_ScaleFactor">#REF!</definedName>
    <definedName name="Rpt_SurveyCompMethod" localSheetId="2">EOU!$I$5</definedName>
    <definedName name="Rpt_SurveyCompMethod" localSheetId="1">Survey!$I$5</definedName>
    <definedName name="Rpt_SurveyCompMethod">#REF!</definedName>
    <definedName name="Rpt_SurveyDate" localSheetId="2">EOU!$C$13</definedName>
    <definedName name="Rpt_SurveyDate" localSheetId="1">Survey!$C$13</definedName>
    <definedName name="Rpt_SurveyDate">#REF!</definedName>
    <definedName name="Rpt_SurveyName" localSheetId="2">EOU!$C$12</definedName>
    <definedName name="Rpt_SurveyName" localSheetId="1">Survey!$C$12</definedName>
    <definedName name="Rpt_SurveyName">#REF!</definedName>
    <definedName name="Rpt_SurveyStats" localSheetId="2">EOU!$C$14</definedName>
    <definedName name="Rpt_SurveyStats" localSheetId="1">Survey!$C$14</definedName>
    <definedName name="Rpt_SurveyStats">#REF!</definedName>
    <definedName name="Rpt_Title" localSheetId="2">EOU!$C$2</definedName>
    <definedName name="Rpt_Title" localSheetId="1">Survey!$C$2</definedName>
    <definedName name="Rpt_Title">#REF!</definedName>
    <definedName name="Rpt_Title2" localSheetId="2">EOU!$C$3</definedName>
    <definedName name="Rpt_Title2" localSheetId="1">Survey!$C$3</definedName>
    <definedName name="Rpt_Title2">#REF!</definedName>
    <definedName name="Rpt_TotalCorrection" localSheetId="2">EOU!$I$20</definedName>
    <definedName name="Rpt_TotalCorrection" localSheetId="1">Survey!$I$20</definedName>
    <definedName name="Rpt_TotalCorrection">#REF!</definedName>
    <definedName name="Rpt_TotalCorrectionLabel" localSheetId="2">EOU!$G$20</definedName>
    <definedName name="Rpt_TotalCorrectionLabel" localSheetId="1">Survey!$G$20</definedName>
    <definedName name="Rpt_TotalCorrectionLabel">#REF!</definedName>
    <definedName name="Rpt_Version" localSheetId="2">EOU!$C$20</definedName>
    <definedName name="Rpt_Version" localSheetId="1">Survey!$C$20</definedName>
    <definedName name="Rpt_Version">#REF!</definedName>
    <definedName name="Rpt_VSEC_Azim" localSheetId="2">EOU!$I$6</definedName>
    <definedName name="Rpt_VSEC_Azim" localSheetId="1">Survey!$I$6</definedName>
    <definedName name="Rpt_VSEC_Azim">#REF!</definedName>
    <definedName name="Rpt_VSEC_Origin" localSheetId="2">EOU!$I$7</definedName>
    <definedName name="Rpt_VSEC_Origin" localSheetId="1">Survey!$I$7</definedName>
    <definedName name="Rpt_VSEC_Origin">#REF!</definedName>
    <definedName name="Rpt_WellName" localSheetId="2">EOU!$C$9</definedName>
    <definedName name="Rpt_WellName" localSheetId="1">Survey!$C$9</definedName>
    <definedName name="Rpt_WellName">#REF!</definedName>
    <definedName name="SlotEasting">'Sign-Off'!$E$11:$F$11</definedName>
    <definedName name="SlotLat">'Sign-Off'!$C$12:$C$12</definedName>
    <definedName name="SlotLong">'Sign-Off'!$E$12:$E$12</definedName>
    <definedName name="SlotNorthing">'Sign-Off'!$C$11:$D$11</definedName>
    <definedName name="SlotUnc">'Sign-Off'!$E$13:$E$13</definedName>
    <definedName name="StructureEasting">'Sign-Off'!$E$9:$E$9</definedName>
    <definedName name="StructureLat">'Sign-Off'!$C$10:$C$10</definedName>
    <definedName name="StructureLong">'Sign-Off'!$E$10:$E$10</definedName>
    <definedName name="StructureNorthing">'Sign-Off'!$C$9:$C$9</definedName>
    <definedName name="StructureSlot">'Sign-Off'!$B$7:$B$7</definedName>
    <definedName name="StructureUnc">'Sign-Off'!$C$13:$C$13</definedName>
    <definedName name="SurveyDate">'Sign-Off'!$J$10:$K$10</definedName>
    <definedName name="SurveyName">'Sign-Off'!$G$7:$G$7</definedName>
    <definedName name="SurveyProgramFormatA" localSheetId="2">EOU!$A$49</definedName>
    <definedName name="SurveyProgramFormatA" localSheetId="1">Survey!$A$49</definedName>
    <definedName name="SurveyProgramFormatA">#REF!</definedName>
    <definedName name="SurveyProgramFormatB" localSheetId="2">EOU!$C$49</definedName>
    <definedName name="SurveyProgramFormatB" localSheetId="1">Survey!$C$49</definedName>
    <definedName name="SurveyProgramFormatB">#REF!</definedName>
    <definedName name="SurveyProgramHeader" localSheetId="2">EOU!$A$52</definedName>
    <definedName name="SurveyProgramHeader" localSheetId="1">Survey!$A$52</definedName>
    <definedName name="SurveyProgramHeader">#REF!</definedName>
    <definedName name="SurveyTypeFormula">'Sign-Off'!$L$4:$L$6</definedName>
    <definedName name="TableHeaderCenter" localSheetId="2">EOU!$L$23</definedName>
    <definedName name="TableHeaderCenter" localSheetId="1">Survey!$L$23</definedName>
    <definedName name="TableHeaderCenter">#REF!</definedName>
    <definedName name="TableHeaderCrossCenter" localSheetId="2">EOU!$E$52</definedName>
    <definedName name="TableHeaderCrossCenter" localSheetId="1">Survey!$E$52</definedName>
    <definedName name="TableHeaderCrossCenter">#REF!</definedName>
    <definedName name="TableHeaderCrossRight" localSheetId="2">EOU!$F$52</definedName>
    <definedName name="TableHeaderCrossRight" localSheetId="1">Survey!$F$52</definedName>
    <definedName name="TableHeaderCrossRight">#REF!</definedName>
    <definedName name="TableHeaderLeft" localSheetId="2">EOU!$A$23</definedName>
    <definedName name="TableHeaderLeft" localSheetId="1">Survey!$A$23</definedName>
    <definedName name="TableHeaderLeft">#REF!</definedName>
    <definedName name="TableHeaderRight" localSheetId="2">EOU!$B$23</definedName>
    <definedName name="TableHeaderRight" localSheetId="1">Survey!$B$23</definedName>
    <definedName name="TableHeaderRight">#REF!</definedName>
    <definedName name="TotalCorrection">'Sign-Off'!$J$15:$K$15</definedName>
    <definedName name="VerticalReference">'Sign-Off'!$C$15:$C$15</definedName>
    <definedName name="VSAzimuth">'Sign-Off'!$J$17:$K$17</definedName>
    <definedName name="VSOrigin">'Sign-Off'!$J$16:$K$16</definedName>
    <definedName name="WellName">'Sign-Off'!$G$6:$G$6</definedName>
  </definedNames>
  <calcPr calcId="179017"/>
</workbook>
</file>

<file path=xl/sharedStrings.xml><?xml version="1.0" encoding="utf-8"?>
<sst xmlns="http://schemas.openxmlformats.org/spreadsheetml/2006/main" count="836" uniqueCount="381">
  <si>
    <t>SURVEY MANAGEMENT</t>
  </si>
  <si>
    <t>DEFINITIVE SURVEY SIGN-OFF</t>
  </si>
  <si>
    <t>Client:</t>
  </si>
  <si>
    <t/>
  </si>
  <si>
    <t>Job No.:</t>
  </si>
  <si>
    <t>17hol0035</t>
  </si>
  <si>
    <t>Report Date:</t>
  </si>
  <si>
    <t>Straight</t>
  </si>
  <si>
    <t>Field:</t>
  </si>
  <si>
    <t>Naaldwijk (Trias Westland)</t>
  </si>
  <si>
    <t>Well Name:</t>
  </si>
  <si>
    <t>NLW-GT-02</t>
  </si>
  <si>
    <t>Borehole:</t>
  </si>
  <si>
    <t>NLW-GT-02-S1</t>
  </si>
  <si>
    <t>Curve</t>
  </si>
  <si>
    <t>Stru/Slot:</t>
  </si>
  <si>
    <t>NLW-GT-02/NLW-GT-02</t>
  </si>
  <si>
    <t>Survey:</t>
  </si>
  <si>
    <t>NLW-GT-02-S1 Def Survey</t>
  </si>
  <si>
    <t>Yes</t>
  </si>
  <si>
    <t>Structure Reference:</t>
  </si>
  <si>
    <t>Depth Units:</t>
  </si>
  <si>
    <t>(m)</t>
  </si>
  <si>
    <t>No</t>
  </si>
  <si>
    <t>N  51° 59' 26.96188"</t>
  </si>
  <si>
    <t>E   4° 14' 22.35732"</t>
  </si>
  <si>
    <t>Survey Date:</t>
  </si>
  <si>
    <t>N/A</t>
  </si>
  <si>
    <t>Slot Coordinates:</t>
  </si>
  <si>
    <t>Azimuth Reference:</t>
  </si>
  <si>
    <t>Grid North</t>
  </si>
  <si>
    <t>Mag. Model / Mag. Decl. Date:</t>
  </si>
  <si>
    <t>HDGM 2017</t>
  </si>
  <si>
    <t>Structure/Slot Uncertainty:</t>
  </si>
  <si>
    <t>0.00 m(3.00 sigma)</t>
  </si>
  <si>
    <t>Magnetic Declination:</t>
  </si>
  <si>
    <t>1.102 °</t>
  </si>
  <si>
    <t>Grid Coordinate System:</t>
  </si>
  <si>
    <t>Amersfoort * OGP-Nld / RD Dutch Onshore</t>
  </si>
  <si>
    <t>Grid Convergence:</t>
  </si>
  <si>
    <t>-0.90562969 °</t>
  </si>
  <si>
    <t>TVD Reference Datum:</t>
  </si>
  <si>
    <t>Borehole: Unknown</t>
  </si>
  <si>
    <t>Total Correction:</t>
  </si>
  <si>
    <t>2.0078 °</t>
  </si>
  <si>
    <t>TVD Reference Elevation:</t>
  </si>
  <si>
    <t>8.420 m above NAP</t>
  </si>
  <si>
    <t>Vertical Section Origin:</t>
  </si>
  <si>
    <t>0.000 m, 0.000 m</t>
  </si>
  <si>
    <t>Seabed/GroundLevel:</t>
  </si>
  <si>
    <t>0.900 m below NAP</t>
  </si>
  <si>
    <t>Vertical Section Plane:</t>
  </si>
  <si>
    <t>107.442 ° (Grid North)</t>
  </si>
  <si>
    <t>DEFINITIVE SURVEY CONSTRUCTION - ORIGINAL WELL</t>
  </si>
  <si>
    <t>Instrument Type</t>
  </si>
  <si>
    <t>Survey From</t>
  </si>
  <si>
    <t>Survey To</t>
  </si>
  <si>
    <t>Hole Size</t>
  </si>
  <si>
    <t>Casing Size</t>
  </si>
  <si>
    <t>SLB_MWD+SAG-Depth Only</t>
  </si>
  <si>
    <t>SLB_MWD+SAG</t>
  </si>
  <si>
    <t xml:space="preserve">Projection to TD:        </t>
  </si>
  <si>
    <t>Type:</t>
  </si>
  <si>
    <t>WELL REFERENCE POINT LOCATION</t>
  </si>
  <si>
    <t>MD</t>
  </si>
  <si>
    <t>INC</t>
  </si>
  <si>
    <t>AZ</t>
  </si>
  <si>
    <t>TVD</t>
  </si>
  <si>
    <t>VS</t>
  </si>
  <si>
    <t>NS</t>
  </si>
  <si>
    <t>EW</t>
  </si>
  <si>
    <t>Northing</t>
  </si>
  <si>
    <t>Easting</t>
  </si>
  <si>
    <t>Latitude</t>
  </si>
  <si>
    <t>Longitude</t>
  </si>
  <si>
    <t>BOTTOM HOLE LOCATION</t>
  </si>
  <si>
    <t>N  51° 59' 20.40543"</t>
  </si>
  <si>
    <t>E   4° 14' 58.79969"</t>
  </si>
  <si>
    <t>BOTTOM HOLE LOCATION COMPARISON</t>
  </si>
  <si>
    <t>SOURCE :</t>
  </si>
  <si>
    <t>COMMENTS</t>
  </si>
  <si>
    <t>Well Position Declaration</t>
  </si>
  <si>
    <t>Drilling Targets requirement met ?</t>
  </si>
  <si>
    <t>DEFINITIVE SURVEY SIGNED OFF</t>
  </si>
  <si>
    <t>For Schlumberger:</t>
  </si>
  <si>
    <t>Prepared By: (Sign)</t>
  </si>
  <si>
    <t>Checked By: (Sign)</t>
  </si>
  <si>
    <t>Name:</t>
  </si>
  <si>
    <t>Position:</t>
  </si>
  <si>
    <t>Date:</t>
  </si>
  <si>
    <t>For Client:</t>
  </si>
  <si>
    <t>Approved By: (Sign)</t>
  </si>
  <si>
    <t>NLW-GT-02-S1 Def Survey Survey Geodetic Report</t>
  </si>
  <si>
    <t>(Def Survey)</t>
  </si>
  <si>
    <t>May 18, 2018 - 10:49 AM</t>
  </si>
  <si>
    <t>Survey / DLS Computation:</t>
  </si>
  <si>
    <t>Minimum Curvature / Lubinski</t>
  </si>
  <si>
    <t>Vertical Section Azimuth:</t>
  </si>
  <si>
    <t>Structure / Slot:</t>
  </si>
  <si>
    <t>NLW-GT-02 / NLW-GT-02</t>
  </si>
  <si>
    <t>Unknown</t>
  </si>
  <si>
    <t>Well:</t>
  </si>
  <si>
    <t>Seabed / Ground Elevation:</t>
  </si>
  <si>
    <t>UWI / API#:</t>
  </si>
  <si>
    <t>Unknown / Unknown</t>
  </si>
  <si>
    <t>Survey Name:</t>
  </si>
  <si>
    <t>Total Gravity Field Strength:</t>
  </si>
  <si>
    <t>1000.5836mgn (9.80665 Based)</t>
  </si>
  <si>
    <t>April 03, 2018</t>
  </si>
  <si>
    <t>Gravity Model:</t>
  </si>
  <si>
    <t>GARM</t>
  </si>
  <si>
    <t>Tort / AHD / DDI / ERD Ratio:</t>
  </si>
  <si>
    <t>84.567 ° / 730.906 m / 5.333 / 0.289</t>
  </si>
  <si>
    <t>Total Magnetic Field Strength:</t>
  </si>
  <si>
    <t>49039.641 nT</t>
  </si>
  <si>
    <t>Coordinate Reference System:</t>
  </si>
  <si>
    <t>Magnetic Dip Angle:</t>
  </si>
  <si>
    <t>67.069 °</t>
  </si>
  <si>
    <t>Location Lat / Long:</t>
  </si>
  <si>
    <t>N  51° 59' 26.96188", E   4° 14' 22.35732"</t>
  </si>
  <si>
    <t>Declination Date:</t>
  </si>
  <si>
    <t>February 04, 2018</t>
  </si>
  <si>
    <t>Location Grid N/E Y/X:</t>
  </si>
  <si>
    <t>N 445230.000 m, E 76154.000 m</t>
  </si>
  <si>
    <t>Magnetic Declination Model:</t>
  </si>
  <si>
    <t>CRS Grid Convergence Angle:</t>
  </si>
  <si>
    <t>-0.9056 °</t>
  </si>
  <si>
    <t>North Reference:</t>
  </si>
  <si>
    <t>Grid Scale Factor:</t>
  </si>
  <si>
    <t>Grid Convergence Used:</t>
  </si>
  <si>
    <t>Version / Patch:</t>
  </si>
  <si>
    <t>2.10.254.0</t>
  </si>
  <si>
    <t>Total Corr Mag North-&gt;Grid North:</t>
  </si>
  <si>
    <t>Local Coord Referenced To:</t>
  </si>
  <si>
    <t>Structure Reference Point</t>
  </si>
  <si>
    <t>Comments</t>
  </si>
  <si>
    <t>MD
(m)</t>
  </si>
  <si>
    <t>Incl
(°)</t>
  </si>
  <si>
    <t>Azim Grid
(°)</t>
  </si>
  <si>
    <t>TVD
(m)</t>
  </si>
  <si>
    <t>TVDSS
(m)</t>
  </si>
  <si>
    <t>VSEC
(m)</t>
  </si>
  <si>
    <t>NS
(m)</t>
  </si>
  <si>
    <t>EW
(m)</t>
  </si>
  <si>
    <t>DLS
(°/30m)</t>
  </si>
  <si>
    <t>Northing
(m)</t>
  </si>
  <si>
    <t>Easting
(m)</t>
  </si>
  <si>
    <t>Latitude
(N/S ° ' ")</t>
  </si>
  <si>
    <t>Longitude
(E/W ° ' ")</t>
  </si>
  <si>
    <t>Tie-In</t>
  </si>
  <si>
    <t>N   51 59 26.96</t>
  </si>
  <si>
    <t>E     4 14 22.36</t>
  </si>
  <si>
    <t>GL</t>
  </si>
  <si>
    <t>Conductor interference</t>
  </si>
  <si>
    <t>N   51 59 27.02</t>
  </si>
  <si>
    <t>E     4 14 22.45</t>
  </si>
  <si>
    <t>DMAG</t>
  </si>
  <si>
    <t>N   51 59 27.04</t>
  </si>
  <si>
    <t>E     4 14 22.49</t>
  </si>
  <si>
    <t>N   51 59 27.06</t>
  </si>
  <si>
    <t>E     4 14 22.57</t>
  </si>
  <si>
    <t>N   51 59 27.07</t>
  </si>
  <si>
    <t>E     4 14 22.70</t>
  </si>
  <si>
    <t>Fish Interference</t>
  </si>
  <si>
    <t>E     4 14 22.86</t>
  </si>
  <si>
    <t>N   51 59 27.08</t>
  </si>
  <si>
    <t>E     4 14 23.04</t>
  </si>
  <si>
    <t>E     4 14 23.22</t>
  </si>
  <si>
    <t>N   51 59 27.09</t>
  </si>
  <si>
    <t>E     4 14 23.42</t>
  </si>
  <si>
    <t>E     4 14 23.65</t>
  </si>
  <si>
    <t>E     4 14 23.89</t>
  </si>
  <si>
    <t>E     4 14 24.19</t>
  </si>
  <si>
    <t>N   51 59 27.03</t>
  </si>
  <si>
    <t>E     4 14 24.50</t>
  </si>
  <si>
    <t>N   51 59 26.97</t>
  </si>
  <si>
    <t>E     4 14 24.80</t>
  </si>
  <si>
    <t>N   51 59 26.91</t>
  </si>
  <si>
    <t>E     4 14 25.11</t>
  </si>
  <si>
    <t>N   51 59 26.84</t>
  </si>
  <si>
    <t>E     4 14 25.43</t>
  </si>
  <si>
    <t>N   51 59 26.76</t>
  </si>
  <si>
    <t>E     4 14 25.76</t>
  </si>
  <si>
    <t>N   51 59 26.68</t>
  </si>
  <si>
    <t>E     4 14 26.08</t>
  </si>
  <si>
    <t>N   51 59 26.60</t>
  </si>
  <si>
    <t>E     4 14 26.40</t>
  </si>
  <si>
    <t>N   51 59 26.53</t>
  </si>
  <si>
    <t>E     4 14 26.70</t>
  </si>
  <si>
    <t>N   51 59 26.45</t>
  </si>
  <si>
    <t>E     4 14 27.01</t>
  </si>
  <si>
    <t>N   51 59 26.37</t>
  </si>
  <si>
    <t>E     4 14 27.30</t>
  </si>
  <si>
    <t>N   51 59 26.29</t>
  </si>
  <si>
    <t>E     4 14 27.59</t>
  </si>
  <si>
    <t>N   51 59 26.21</t>
  </si>
  <si>
    <t>E     4 14 27.89</t>
  </si>
  <si>
    <t>N   51 59 26.13</t>
  </si>
  <si>
    <t>E     4 14 28.19</t>
  </si>
  <si>
    <t>N   51 59 26.05</t>
  </si>
  <si>
    <t>E     4 14 28.48</t>
  </si>
  <si>
    <t>N   51 59 25.98</t>
  </si>
  <si>
    <t>E     4 14 28.75</t>
  </si>
  <si>
    <t>N   51 59 25.91</t>
  </si>
  <si>
    <t>E     4 14 29.02</t>
  </si>
  <si>
    <t>N   51 59 25.84</t>
  </si>
  <si>
    <t>E     4 14 29.28</t>
  </si>
  <si>
    <t>N   51 59 25.76</t>
  </si>
  <si>
    <t>E     4 14 29.53</t>
  </si>
  <si>
    <t>N   51 59 25.69</t>
  </si>
  <si>
    <t>E     4 14 29.79</t>
  </si>
  <si>
    <t>N   51 59 25.62</t>
  </si>
  <si>
    <t>E     4 14 30.02</t>
  </si>
  <si>
    <t>N   51 59 25.55</t>
  </si>
  <si>
    <t>E     4 14 30.24</t>
  </si>
  <si>
    <t>N   51 59 25.48</t>
  </si>
  <si>
    <t>E     4 14 30.44</t>
  </si>
  <si>
    <t>N   51 59 25.41</t>
  </si>
  <si>
    <t>E     4 14 30.63</t>
  </si>
  <si>
    <t>N   51 59 25.37</t>
  </si>
  <si>
    <t>E     4 14 30.76</t>
  </si>
  <si>
    <t>Shoe Interference</t>
  </si>
  <si>
    <t>N   51 59 25.32</t>
  </si>
  <si>
    <t>E     4 14 30.92</t>
  </si>
  <si>
    <t>N   51 59 25.26</t>
  </si>
  <si>
    <t>E     4 14 31.09</t>
  </si>
  <si>
    <t>N   51 59 25.20</t>
  </si>
  <si>
    <t>E     4 14 31.25</t>
  </si>
  <si>
    <t>N   51 59 25.14</t>
  </si>
  <si>
    <t>E     4 14 31.40</t>
  </si>
  <si>
    <t>N   51 59 25.09</t>
  </si>
  <si>
    <t>E     4 14 31.55</t>
  </si>
  <si>
    <t>N   51 59 25.03</t>
  </si>
  <si>
    <t>E     4 14 31.69</t>
  </si>
  <si>
    <t>N   51 59 24.98</t>
  </si>
  <si>
    <t>E     4 14 31.85</t>
  </si>
  <si>
    <t>N   51 59 24.91</t>
  </si>
  <si>
    <t>E     4 14 32.06</t>
  </si>
  <si>
    <t>N   51 59 24.82</t>
  </si>
  <si>
    <t>E     4 14 32.35</t>
  </si>
  <si>
    <t>N   51 59 24.73</t>
  </si>
  <si>
    <t>E     4 14 32.65</t>
  </si>
  <si>
    <t>MWD Surveys:</t>
  </si>
  <si>
    <t>N   51 59 24.64</t>
  </si>
  <si>
    <t>E     4 14 32.94</t>
  </si>
  <si>
    <t>N   51 59 24.55</t>
  </si>
  <si>
    <t>E     4 14 33.24</t>
  </si>
  <si>
    <t>N   51 59 24.48</t>
  </si>
  <si>
    <t>E     4 14 33.54</t>
  </si>
  <si>
    <t>N   51 59 24.42</t>
  </si>
  <si>
    <t>E     4 14 33.86</t>
  </si>
  <si>
    <t>N   51 59 24.37</t>
  </si>
  <si>
    <t>E     4 14 34.19</t>
  </si>
  <si>
    <t>N   51 59 24.33</t>
  </si>
  <si>
    <t>E     4 14 34.51</t>
  </si>
  <si>
    <t>N   51 59 24.29</t>
  </si>
  <si>
    <t>E     4 14 34.84</t>
  </si>
  <si>
    <t>N   51 59 24.24</t>
  </si>
  <si>
    <t>E     4 14 35.17</t>
  </si>
  <si>
    <t>N   51 59 24.18</t>
  </si>
  <si>
    <t>E     4 14 35.49</t>
  </si>
  <si>
    <t>N   51 59 24.12</t>
  </si>
  <si>
    <t>E     4 14 35.80</t>
  </si>
  <si>
    <t>N   51 59 24.06</t>
  </si>
  <si>
    <t>E     4 14 36.10</t>
  </si>
  <si>
    <t>N   51 59 24.01</t>
  </si>
  <si>
    <t>E     4 14 36.41</t>
  </si>
  <si>
    <t>N   51 59 23.96</t>
  </si>
  <si>
    <t>E     4 14 36.72</t>
  </si>
  <si>
    <t>N   51 59 23.92</t>
  </si>
  <si>
    <t>E     4 14 37.04</t>
  </si>
  <si>
    <t>N   51 59 23.87</t>
  </si>
  <si>
    <t>E     4 14 37.35</t>
  </si>
  <si>
    <t>N   51 59 23.83</t>
  </si>
  <si>
    <t>E     4 14 37.68</t>
  </si>
  <si>
    <t>N   51 59 23.79</t>
  </si>
  <si>
    <t>E     4 14 38.01</t>
  </si>
  <si>
    <t>N   51 59 23.75</t>
  </si>
  <si>
    <t>E     4 14 38.34</t>
  </si>
  <si>
    <t>N   51 59 23.71</t>
  </si>
  <si>
    <t>E     4 14 38.69</t>
  </si>
  <si>
    <t>N   51 59 23.66</t>
  </si>
  <si>
    <t>E     4 14 39.06</t>
  </si>
  <si>
    <t>N   51 59 23.61</t>
  </si>
  <si>
    <t>E     4 14 39.44</t>
  </si>
  <si>
    <t>N   51 59 23.56</t>
  </si>
  <si>
    <t>E     4 14 39.86</t>
  </si>
  <si>
    <t>N   51 59 23.50</t>
  </si>
  <si>
    <t>E     4 14 40.31</t>
  </si>
  <si>
    <t>N   51 59 23.43</t>
  </si>
  <si>
    <t>E     4 14 40.79</t>
  </si>
  <si>
    <t>N   51 59 23.37</t>
  </si>
  <si>
    <t>E     4 14 41.29</t>
  </si>
  <si>
    <t>N   51 59 23.30</t>
  </si>
  <si>
    <t>E     4 14 41.84</t>
  </si>
  <si>
    <t>N   51 59 23.23</t>
  </si>
  <si>
    <t>E     4 14 42.42</t>
  </si>
  <si>
    <t>N   51 59 23.16</t>
  </si>
  <si>
    <t>E     4 14 43.06</t>
  </si>
  <si>
    <t>N   51 59 23.09</t>
  </si>
  <si>
    <t>E     4 14 43.73</t>
  </si>
  <si>
    <t>N   51 59 23.07</t>
  </si>
  <si>
    <t>E     4 14 43.91</t>
  </si>
  <si>
    <t>N   51 59 23.00</t>
  </si>
  <si>
    <t>E     4 14 44.61</t>
  </si>
  <si>
    <t>N   51 59 22.91</t>
  </si>
  <si>
    <t>E     4 14 45.28</t>
  </si>
  <si>
    <t>N   51 59 22.80</t>
  </si>
  <si>
    <t>E     4 14 45.95</t>
  </si>
  <si>
    <t>N   51 59 22.69</t>
  </si>
  <si>
    <t>E     4 14 46.63</t>
  </si>
  <si>
    <t>N   51 59 22.55</t>
  </si>
  <si>
    <t>E     4 14 47.34</t>
  </si>
  <si>
    <t>N   51 59 22.41</t>
  </si>
  <si>
    <t>E     4 14 48.07</t>
  </si>
  <si>
    <t>N   51 59 22.29</t>
  </si>
  <si>
    <t>E     4 14 48.72</t>
  </si>
  <si>
    <t>N   51 59 22.17</t>
  </si>
  <si>
    <t>E     4 14 49.28</t>
  </si>
  <si>
    <t>N   51 59 22.01</t>
  </si>
  <si>
    <t>E     4 14 50.10</t>
  </si>
  <si>
    <t>N   51 59 21.86</t>
  </si>
  <si>
    <t>E     4 14 50.94</t>
  </si>
  <si>
    <t>N   51 59 21.70</t>
  </si>
  <si>
    <t>E     4 14 51.81</t>
  </si>
  <si>
    <t>N   51 59 21.55</t>
  </si>
  <si>
    <t>E     4 14 52.70</t>
  </si>
  <si>
    <t>N   51 59 21.38</t>
  </si>
  <si>
    <t>E     4 14 53.64</t>
  </si>
  <si>
    <t>N   51 59 21.19</t>
  </si>
  <si>
    <t>E     4 14 54.61</t>
  </si>
  <si>
    <t>N   51 59 21.01</t>
  </si>
  <si>
    <t>E     4 14 55.58</t>
  </si>
  <si>
    <t>N   51 59 20.83</t>
  </si>
  <si>
    <t>E     4 14 56.55</t>
  </si>
  <si>
    <t>N   51 59 20.64</t>
  </si>
  <si>
    <t>E     4 14 57.54</t>
  </si>
  <si>
    <t>N   51 59 20.49</t>
  </si>
  <si>
    <t>E     4 14 58.37</t>
  </si>
  <si>
    <t>Proj. to well TD</t>
  </si>
  <si>
    <t>N   51 59 20.41</t>
  </si>
  <si>
    <t>E     4 14 58.80</t>
  </si>
  <si>
    <t>Survey Type:</t>
  </si>
  <si>
    <t>Def Survey</t>
  </si>
  <si>
    <t>Survey Error Model:</t>
  </si>
  <si>
    <t>ISCWSA Rev 0 *** 3-D 95.000% Confidence 2.7955 sigma</t>
  </si>
  <si>
    <t>Survey Program:</t>
  </si>
  <si>
    <t>Description</t>
  </si>
  <si>
    <t>Part</t>
  </si>
  <si>
    <t>MD From 
 (m)</t>
  </si>
  <si>
    <t>MD To 
 (m)</t>
  </si>
  <si>
    <t>EOU Freq 
 (m)</t>
  </si>
  <si>
    <t>Hole Size
(in)</t>
  </si>
  <si>
    <t>Casing Diameter
(in)</t>
  </si>
  <si>
    <t>Survey Tool Type</t>
  </si>
  <si>
    <t>Borehole / Survey</t>
  </si>
  <si>
    <t>Act Stns</t>
  </si>
  <si>
    <t>NLW-GT-02-S1 / NLW-GT-02-S1 Def Survey</t>
  </si>
  <si>
    <t>1/30.000</t>
  </si>
  <si>
    <t>Surveys in 24" section and partially in 17.5" section corrected for drillstring magnetism (DMAG).</t>
  </si>
  <si>
    <t>Taras Matviykiv</t>
  </si>
  <si>
    <t>Matteo Dessy</t>
  </si>
  <si>
    <t>SDE</t>
  </si>
  <si>
    <t>NLW-GT-02-S1 Def Survey Survey EOU Report</t>
  </si>
  <si>
    <t>May 18, 2018 - 10:53 AM</t>
  </si>
  <si>
    <t>AD EOU Semi-Major Axis NEV
(m)</t>
  </si>
  <si>
    <t>AD EOU Semi-Minor Axis NEV
(m)</t>
  </si>
  <si>
    <t>AD EOU Unc Vertical
(m)</t>
  </si>
  <si>
    <t>AD EOU Semi-Major Azimuth NEV
(°)</t>
  </si>
  <si>
    <t>AD Survey Tool</t>
  </si>
  <si>
    <t>NOTES:</t>
  </si>
  <si>
    <t>Only depth error sources are used from surface to mud-line.</t>
  </si>
  <si>
    <t>Structure Uncertainty:</t>
  </si>
  <si>
    <t>0.000 m(3.00 sigma) Included</t>
  </si>
  <si>
    <t>Slot Uncertainty:</t>
  </si>
  <si>
    <t>Hole Diameter:</t>
  </si>
  <si>
    <t>12.250 - 30.000 in Included</t>
  </si>
  <si>
    <t>Global Error Sources Used:</t>
  </si>
  <si>
    <t>YES</t>
  </si>
  <si>
    <t>Along-Hole Depth Uncertainty:</t>
  </si>
  <si>
    <t>At survey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</si>
</sst>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mmmm\ d\,\ yyyy;@"/>
    <numFmt numFmtId="166" formatCode="0.000"/>
  </numFmts>
  <fonts count="20">
    <font>
      <sz val="11"/>
      <name val="Calibri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color rgb="FF0000FF"/>
      <name val="Arial Black"/>
      <family val="2"/>
    </font>
    <font>
      <sz val="10"/>
      <name val="Arial"/>
      <family val="2"/>
    </font>
    <font>
      <sz val="7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49"/>
      <name val="Arial"/>
      <family val="2"/>
    </font>
    <font>
      <i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4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auto="1"/>
      </bottom>
      <diagonal/>
    </border>
    <border>
      <left/>
      <right/>
      <top style="thin">
        <color rgb="FFFFFFFF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auto="1"/>
      </left>
      <right style="medium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34"/>
  </cellStyleXfs>
  <cellXfs count="146">
    <xf numFmtId="0" fontId="0" fillId="0" borderId="0" xfId="0" applyProtection="1"/>
    <xf numFmtId="0" fontId="2" fillId="0" borderId="1" xfId="0" applyFont="1" applyBorder="1" applyProtection="1"/>
    <xf numFmtId="0" fontId="3" fillId="0" borderId="1" xfId="0" applyFont="1" applyBorder="1" applyProtection="1"/>
    <xf numFmtId="0" fontId="2" fillId="0" borderId="1" xfId="0" applyFont="1" applyBorder="1" applyAlignment="1" applyProtection="1">
      <alignment horizontal="right"/>
    </xf>
    <xf numFmtId="0" fontId="4" fillId="0" borderId="2" xfId="0" applyFont="1" applyBorder="1" applyProtection="1"/>
    <xf numFmtId="0" fontId="0" fillId="0" borderId="3" xfId="0" applyBorder="1" applyProtection="1"/>
    <xf numFmtId="0" fontId="0" fillId="0" borderId="4" xfId="0" applyBorder="1" applyProtection="1"/>
    <xf numFmtId="0" fontId="2" fillId="2" borderId="8" xfId="0" applyFont="1" applyFill="1" applyBorder="1" applyAlignment="1" applyProtection="1">
      <alignment horizontal="left"/>
    </xf>
    <xf numFmtId="0" fontId="2" fillId="2" borderId="12" xfId="0" applyFont="1" applyFill="1" applyBorder="1" applyProtection="1"/>
    <xf numFmtId="0" fontId="2" fillId="2" borderId="14" xfId="0" applyFont="1" applyFill="1" applyBorder="1" applyProtection="1"/>
    <xf numFmtId="0" fontId="2" fillId="2" borderId="15" xfId="0" applyFont="1" applyFill="1" applyBorder="1" applyAlignment="1" applyProtection="1">
      <alignment horizontal="left"/>
    </xf>
    <xf numFmtId="0" fontId="2" fillId="2" borderId="0" xfId="0" applyFont="1" applyFill="1" applyProtection="1"/>
    <xf numFmtId="0" fontId="3" fillId="0" borderId="16" xfId="0" applyFont="1" applyBorder="1" applyProtection="1"/>
    <xf numFmtId="0" fontId="3" fillId="0" borderId="3" xfId="0" applyFont="1" applyBorder="1" applyProtection="1"/>
    <xf numFmtId="0" fontId="2" fillId="2" borderId="8" xfId="0" applyFont="1" applyFill="1" applyBorder="1" applyProtection="1"/>
    <xf numFmtId="0" fontId="0" fillId="2" borderId="21" xfId="0" applyFill="1" applyBorder="1" applyProtection="1"/>
    <xf numFmtId="164" fontId="3" fillId="0" borderId="14" xfId="0" applyNumberFormat="1" applyFont="1" applyBorder="1" applyAlignment="1" applyProtection="1">
      <alignment horizontal="center"/>
    </xf>
    <xf numFmtId="164" fontId="3" fillId="0" borderId="21" xfId="0" applyNumberFormat="1" applyFont="1" applyBorder="1" applyAlignment="1" applyProtection="1">
      <alignment horizontal="center"/>
    </xf>
    <xf numFmtId="0" fontId="2" fillId="0" borderId="3" xfId="0" applyFont="1" applyBorder="1" applyProtection="1"/>
    <xf numFmtId="0" fontId="4" fillId="0" borderId="16" xfId="0" applyFont="1" applyBorder="1" applyProtection="1"/>
    <xf numFmtId="0" fontId="3" fillId="0" borderId="22" xfId="0" applyFont="1" applyBorder="1" applyProtection="1"/>
    <xf numFmtId="0" fontId="2" fillId="0" borderId="23" xfId="0" applyFont="1" applyBorder="1" applyAlignment="1" applyProtection="1">
      <alignment horizontal="center"/>
    </xf>
    <xf numFmtId="0" fontId="5" fillId="0" borderId="24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0" fillId="0" borderId="0" xfId="0" applyProtection="1"/>
    <xf numFmtId="0" fontId="2" fillId="0" borderId="25" xfId="0" applyFont="1" applyBorder="1" applyProtection="1"/>
    <xf numFmtId="0" fontId="3" fillId="4" borderId="14" xfId="0" applyFont="1" applyFill="1" applyBorder="1" applyProtection="1"/>
    <xf numFmtId="0" fontId="0" fillId="0" borderId="21" xfId="0" applyBorder="1" applyProtection="1"/>
    <xf numFmtId="0" fontId="4" fillId="0" borderId="1" xfId="0" applyFont="1" applyBorder="1" applyProtection="1"/>
    <xf numFmtId="0" fontId="3" fillId="0" borderId="26" xfId="0" applyFont="1" applyBorder="1" applyProtection="1"/>
    <xf numFmtId="0" fontId="2" fillId="2" borderId="14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2" fontId="3" fillId="0" borderId="14" xfId="0" applyNumberFormat="1" applyFont="1" applyBorder="1" applyAlignment="1" applyProtection="1">
      <alignment horizontal="center"/>
    </xf>
    <xf numFmtId="2" fontId="3" fillId="0" borderId="8" xfId="0" applyNumberFormat="1" applyFont="1" applyBorder="1" applyAlignment="1" applyProtection="1">
      <alignment horizontal="center"/>
    </xf>
    <xf numFmtId="0" fontId="3" fillId="0" borderId="27" xfId="0" applyFont="1" applyBorder="1" applyProtection="1"/>
    <xf numFmtId="0" fontId="3" fillId="0" borderId="28" xfId="0" applyFont="1" applyBorder="1" applyProtection="1"/>
    <xf numFmtId="0" fontId="3" fillId="0" borderId="2" xfId="0" applyFont="1" applyBorder="1" applyProtection="1"/>
    <xf numFmtId="0" fontId="2" fillId="0" borderId="14" xfId="0" applyFont="1" applyBorder="1" applyProtection="1"/>
    <xf numFmtId="0" fontId="3" fillId="0" borderId="29" xfId="0" applyFont="1" applyBorder="1" applyProtection="1"/>
    <xf numFmtId="0" fontId="7" fillId="0" borderId="0" xfId="0" applyFont="1" applyProtection="1"/>
    <xf numFmtId="0" fontId="3" fillId="0" borderId="14" xfId="0" applyFont="1" applyBorder="1" applyProtection="1"/>
    <xf numFmtId="0" fontId="3" fillId="0" borderId="14" xfId="0" applyFont="1" applyBorder="1" applyAlignment="1" applyProtection="1">
      <alignment horizontal="center"/>
    </xf>
    <xf numFmtId="0" fontId="4" fillId="0" borderId="22" xfId="0" applyFont="1" applyBorder="1" applyProtection="1"/>
    <xf numFmtId="0" fontId="0" fillId="3" borderId="3" xfId="0" applyFill="1" applyBorder="1" applyProtection="1"/>
    <xf numFmtId="0" fontId="0" fillId="2" borderId="12" xfId="0" applyFill="1" applyBorder="1" applyProtection="1"/>
    <xf numFmtId="0" fontId="3" fillId="3" borderId="3" xfId="0" applyFont="1" applyFill="1" applyBorder="1" applyProtection="1"/>
    <xf numFmtId="0" fontId="2" fillId="0" borderId="8" xfId="0" applyFont="1" applyBorder="1" applyProtection="1"/>
    <xf numFmtId="0" fontId="3" fillId="0" borderId="39" xfId="0" applyFont="1" applyBorder="1" applyProtection="1"/>
    <xf numFmtId="0" fontId="9" fillId="0" borderId="34" xfId="2" applyFont="1" applyBorder="1" applyProtection="1">
      <protection locked="0"/>
    </xf>
    <xf numFmtId="0" fontId="10" fillId="0" borderId="34" xfId="2" applyFont="1" applyFill="1" applyBorder="1" applyAlignment="1" applyProtection="1">
      <alignment horizontal="center" vertical="center"/>
      <protection locked="0"/>
    </xf>
    <xf numFmtId="0" fontId="10" fillId="0" borderId="34" xfId="2" applyFont="1" applyFill="1" applyBorder="1" applyAlignment="1" applyProtection="1">
      <alignment horizontal="centerContinuous" vertical="center" wrapText="1"/>
      <protection locked="0"/>
    </xf>
    <xf numFmtId="0" fontId="11" fillId="0" borderId="34" xfId="2" applyFont="1" applyFill="1" applyBorder="1" applyAlignment="1" applyProtection="1">
      <alignment horizontal="centerContinuous" vertical="center" wrapText="1"/>
      <protection locked="0"/>
    </xf>
    <xf numFmtId="0" fontId="12" fillId="0" borderId="34" xfId="2" applyFont="1" applyFill="1" applyBorder="1" applyAlignment="1" applyProtection="1">
      <alignment horizontal="center" vertical="center"/>
      <protection locked="0"/>
    </xf>
    <xf numFmtId="0" fontId="12" fillId="0" borderId="34" xfId="2" applyFont="1" applyFill="1" applyBorder="1" applyAlignment="1" applyProtection="1">
      <alignment horizontal="centerContinuous" vertical="center" wrapText="1"/>
      <protection locked="0"/>
    </xf>
    <xf numFmtId="0" fontId="13" fillId="0" borderId="34" xfId="2" applyFont="1" applyFill="1" applyBorder="1" applyAlignment="1" applyProtection="1">
      <alignment horizontal="centerContinuous" vertical="center" wrapText="1"/>
      <protection locked="0"/>
    </xf>
    <xf numFmtId="0" fontId="14" fillId="0" borderId="34" xfId="2" applyFont="1" applyBorder="1" applyProtection="1">
      <protection locked="0"/>
    </xf>
    <xf numFmtId="0" fontId="15" fillId="0" borderId="34" xfId="2" applyFont="1"/>
    <xf numFmtId="0" fontId="15" fillId="0" borderId="34" xfId="2" applyFont="1" applyBorder="1" applyProtection="1">
      <protection locked="0"/>
    </xf>
    <xf numFmtId="0" fontId="17" fillId="0" borderId="34" xfId="2" applyFont="1" applyFill="1" applyBorder="1" applyAlignment="1" applyProtection="1">
      <alignment horizontal="left" vertical="center" wrapText="1" shrinkToFit="1"/>
      <protection locked="0"/>
    </xf>
    <xf numFmtId="0" fontId="17" fillId="0" borderId="34" xfId="2" applyFont="1" applyFill="1" applyAlignment="1">
      <alignment horizontal="left" vertical="center" wrapText="1" shrinkToFit="1"/>
    </xf>
    <xf numFmtId="0" fontId="16" fillId="0" borderId="34" xfId="2" applyFont="1" applyFill="1" applyBorder="1" applyAlignment="1" applyProtection="1">
      <alignment horizontal="left" vertical="center" wrapText="1"/>
      <protection locked="0"/>
    </xf>
    <xf numFmtId="0" fontId="18" fillId="0" borderId="34" xfId="2" applyFont="1" applyBorder="1" applyAlignment="1" applyProtection="1">
      <alignment horizontal="right" vertical="center" shrinkToFit="1"/>
      <protection locked="0"/>
    </xf>
    <xf numFmtId="0" fontId="19" fillId="0" borderId="34" xfId="2" applyFont="1" applyBorder="1" applyAlignment="1" applyProtection="1">
      <alignment vertical="center" shrinkToFit="1"/>
      <protection locked="0"/>
    </xf>
    <xf numFmtId="0" fontId="17" fillId="0" borderId="34" xfId="2" applyFont="1" applyFill="1" applyBorder="1" applyAlignment="1" applyProtection="1">
      <alignment horizontal="left" vertical="center" wrapText="1"/>
      <protection locked="0"/>
    </xf>
    <xf numFmtId="0" fontId="16" fillId="0" borderId="40" xfId="2" applyFont="1" applyFill="1" applyBorder="1" applyAlignment="1">
      <alignment horizontal="left" vertical="center" wrapText="1"/>
    </xf>
    <xf numFmtId="0" fontId="16" fillId="0" borderId="40" xfId="2" applyFont="1" applyFill="1" applyBorder="1" applyAlignment="1">
      <alignment horizontal="right" vertical="center" wrapText="1"/>
    </xf>
    <xf numFmtId="0" fontId="15" fillId="0" borderId="34" xfId="2" applyFont="1" applyBorder="1" applyAlignment="1" applyProtection="1">
      <alignment horizontal="center" vertical="center" wrapText="1"/>
      <protection locked="0"/>
    </xf>
    <xf numFmtId="166" fontId="17" fillId="0" borderId="34" xfId="2" applyNumberFormat="1" applyFont="1" applyFill="1" applyBorder="1" applyAlignment="1">
      <alignment horizontal="left" vertical="center" wrapText="1"/>
    </xf>
    <xf numFmtId="2" fontId="17" fillId="0" borderId="34" xfId="2" applyNumberFormat="1" applyFont="1" applyFill="1" applyBorder="1" applyAlignment="1">
      <alignment horizontal="right" vertical="center"/>
    </xf>
    <xf numFmtId="0" fontId="15" fillId="0" borderId="34" xfId="2" applyFont="1" applyBorder="1" applyAlignment="1" applyProtection="1">
      <alignment horizontal="right" vertical="center" wrapText="1"/>
      <protection locked="0"/>
    </xf>
    <xf numFmtId="166" fontId="17" fillId="5" borderId="34" xfId="2" applyNumberFormat="1" applyFont="1" applyFill="1" applyBorder="1" applyAlignment="1">
      <alignment horizontal="left" vertical="center" wrapText="1"/>
    </xf>
    <xf numFmtId="2" fontId="17" fillId="5" borderId="34" xfId="2" applyNumberFormat="1" applyFont="1" applyFill="1" applyBorder="1" applyAlignment="1">
      <alignment horizontal="right" vertical="center"/>
    </xf>
    <xf numFmtId="0" fontId="15" fillId="0" borderId="34" xfId="2" applyFont="1" applyBorder="1" applyAlignment="1" applyProtection="1">
      <alignment wrapText="1"/>
      <protection locked="0"/>
    </xf>
    <xf numFmtId="0" fontId="16" fillId="0" borderId="40" xfId="2" applyFont="1" applyFill="1" applyBorder="1" applyAlignment="1">
      <alignment horizontal="center" vertical="center" wrapText="1"/>
    </xf>
    <xf numFmtId="1" fontId="17" fillId="0" borderId="34" xfId="2" applyNumberFormat="1" applyFont="1" applyFill="1" applyBorder="1" applyAlignment="1">
      <alignment horizontal="right" vertical="center"/>
    </xf>
    <xf numFmtId="166" fontId="17" fillId="0" borderId="34" xfId="2" applyNumberFormat="1" applyFont="1" applyFill="1" applyBorder="1" applyAlignment="1">
      <alignment horizontal="right" vertical="center"/>
    </xf>
    <xf numFmtId="166" fontId="17" fillId="0" borderId="34" xfId="2" applyNumberFormat="1" applyFont="1" applyFill="1" applyBorder="1" applyAlignment="1">
      <alignment horizontal="center" vertical="center"/>
    </xf>
    <xf numFmtId="166" fontId="17" fillId="5" borderId="34" xfId="2" applyNumberFormat="1" applyFont="1" applyFill="1" applyBorder="1" applyAlignment="1">
      <alignment horizontal="center" vertical="center"/>
    </xf>
    <xf numFmtId="2" fontId="3" fillId="0" borderId="9" xfId="0" applyNumberFormat="1" applyFont="1" applyBorder="1" applyAlignment="1" applyProtection="1">
      <alignment horizontal="center"/>
    </xf>
    <xf numFmtId="2" fontId="3" fillId="0" borderId="11" xfId="0" applyNumberFormat="1" applyFont="1" applyBorder="1" applyAlignment="1" applyProtection="1">
      <alignment horizontal="center"/>
    </xf>
    <xf numFmtId="0" fontId="2" fillId="2" borderId="17" xfId="0" applyFont="1" applyFill="1" applyBorder="1" applyAlignment="1" applyProtection="1">
      <alignment horizontal="left" vertical="center"/>
    </xf>
    <xf numFmtId="0" fontId="2" fillId="2" borderId="18" xfId="0" applyFont="1" applyFill="1" applyBorder="1" applyAlignment="1" applyProtection="1">
      <alignment horizontal="left" vertical="center"/>
    </xf>
    <xf numFmtId="0" fontId="2" fillId="2" borderId="19" xfId="0" applyFont="1" applyFill="1" applyBorder="1" applyAlignment="1" applyProtection="1">
      <alignment horizontal="left" vertical="center"/>
    </xf>
    <xf numFmtId="0" fontId="2" fillId="2" borderId="20" xfId="0" applyFont="1" applyFill="1" applyBorder="1" applyAlignment="1" applyProtection="1">
      <alignment horizontal="left" vertical="center"/>
    </xf>
    <xf numFmtId="0" fontId="2" fillId="3" borderId="9" xfId="0" applyFont="1" applyFill="1" applyBorder="1" applyAlignment="1" applyProtection="1">
      <alignment horizontal="center"/>
    </xf>
    <xf numFmtId="0" fontId="2" fillId="3" borderId="10" xfId="0" applyFont="1" applyFill="1" applyBorder="1" applyAlignment="1" applyProtection="1">
      <alignment horizontal="center"/>
    </xf>
    <xf numFmtId="0" fontId="2" fillId="3" borderId="11" xfId="0" applyFont="1" applyFill="1" applyBorder="1" applyAlignment="1" applyProtection="1">
      <alignment horizontal="center"/>
    </xf>
    <xf numFmtId="0" fontId="3" fillId="0" borderId="30" xfId="0" applyFont="1" applyBorder="1" applyAlignment="1" applyProtection="1">
      <alignment horizontal="left" vertical="top" wrapText="1"/>
    </xf>
    <xf numFmtId="0" fontId="3" fillId="0" borderId="31" xfId="0" applyFont="1" applyBorder="1" applyAlignment="1" applyProtection="1">
      <alignment horizontal="left" vertical="top" wrapText="1"/>
    </xf>
    <xf numFmtId="0" fontId="3" fillId="0" borderId="32" xfId="0" applyFont="1" applyBorder="1" applyAlignment="1" applyProtection="1">
      <alignment horizontal="left" vertical="top" wrapText="1"/>
    </xf>
    <xf numFmtId="0" fontId="3" fillId="0" borderId="36" xfId="0" applyFont="1" applyBorder="1" applyAlignment="1" applyProtection="1">
      <alignment horizontal="left" vertical="top" wrapText="1"/>
    </xf>
    <xf numFmtId="0" fontId="3" fillId="0" borderId="37" xfId="0" applyFont="1" applyBorder="1" applyAlignment="1" applyProtection="1">
      <alignment horizontal="left" vertical="top" wrapText="1"/>
    </xf>
    <xf numFmtId="0" fontId="3" fillId="0" borderId="38" xfId="0" applyFont="1" applyBorder="1" applyAlignment="1" applyProtection="1">
      <alignment horizontal="left" vertical="top" wrapText="1"/>
    </xf>
    <xf numFmtId="0" fontId="3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2" fillId="0" borderId="9" xfId="0" applyFont="1" applyBorder="1" applyProtection="1"/>
    <xf numFmtId="0" fontId="2" fillId="0" borderId="11" xfId="0" applyFont="1" applyBorder="1" applyProtection="1"/>
    <xf numFmtId="2" fontId="2" fillId="0" borderId="9" xfId="0" applyNumberFormat="1" applyFont="1" applyBorder="1" applyAlignment="1" applyProtection="1">
      <alignment horizontal="center"/>
    </xf>
    <xf numFmtId="2" fontId="2" fillId="0" borderId="10" xfId="0" applyNumberFormat="1" applyFont="1" applyBorder="1" applyAlignment="1" applyProtection="1">
      <alignment horizontal="center"/>
    </xf>
    <xf numFmtId="2" fontId="2" fillId="0" borderId="11" xfId="0" applyNumberFormat="1" applyFont="1" applyBorder="1" applyAlignment="1" applyProtection="1">
      <alignment horizontal="center"/>
    </xf>
    <xf numFmtId="0" fontId="2" fillId="2" borderId="9" xfId="0" applyFont="1" applyFill="1" applyBorder="1" applyProtection="1"/>
    <xf numFmtId="0" fontId="2" fillId="2" borderId="10" xfId="0" applyFont="1" applyFill="1" applyBorder="1" applyProtection="1"/>
    <xf numFmtId="0" fontId="2" fillId="2" borderId="11" xfId="0" applyFont="1" applyFill="1" applyBorder="1" applyProtection="1"/>
    <xf numFmtId="0" fontId="3" fillId="4" borderId="9" xfId="0" applyFont="1" applyFill="1" applyBorder="1" applyAlignment="1" applyProtection="1">
      <alignment horizontal="center"/>
    </xf>
    <xf numFmtId="0" fontId="3" fillId="4" borderId="11" xfId="0" applyFont="1" applyFill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2" fontId="3" fillId="0" borderId="1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right"/>
    </xf>
    <xf numFmtId="0" fontId="4" fillId="0" borderId="6" xfId="0" applyFont="1" applyBorder="1" applyAlignment="1" applyProtection="1">
      <alignment horizontal="right"/>
    </xf>
    <xf numFmtId="0" fontId="4" fillId="0" borderId="7" xfId="0" applyFont="1" applyBorder="1" applyAlignment="1" applyProtection="1">
      <alignment horizontal="right"/>
    </xf>
    <xf numFmtId="0" fontId="3" fillId="0" borderId="9" xfId="0" applyFont="1" applyBorder="1" applyProtection="1"/>
    <xf numFmtId="0" fontId="3" fillId="0" borderId="10" xfId="0" applyFont="1" applyBorder="1" applyProtection="1"/>
    <xf numFmtId="0" fontId="3" fillId="0" borderId="11" xfId="0" applyFont="1" applyBorder="1" applyProtection="1"/>
    <xf numFmtId="0" fontId="3" fillId="0" borderId="33" xfId="0" applyFont="1" applyBorder="1" applyAlignment="1" applyProtection="1">
      <alignment horizontal="left" vertical="top" wrapText="1"/>
    </xf>
    <xf numFmtId="0" fontId="3" fillId="0" borderId="34" xfId="0" applyFont="1" applyBorder="1" applyAlignment="1" applyProtection="1">
      <alignment horizontal="left" vertical="top" wrapText="1"/>
    </xf>
    <xf numFmtId="0" fontId="3" fillId="0" borderId="35" xfId="0" applyFont="1" applyBorder="1" applyAlignment="1" applyProtection="1">
      <alignment horizontal="left" vertical="top" wrapText="1"/>
    </xf>
    <xf numFmtId="2" fontId="2" fillId="0" borderId="8" xfId="0" applyNumberFormat="1" applyFont="1" applyBorder="1" applyAlignment="1" applyProtection="1">
      <alignment horizontal="center"/>
    </xf>
    <xf numFmtId="2" fontId="2" fillId="0" borderId="13" xfId="0" applyNumberFormat="1" applyFont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164" fontId="3" fillId="0" borderId="9" xfId="0" applyNumberFormat="1" applyFont="1" applyBorder="1" applyAlignment="1" applyProtection="1">
      <alignment horizontal="center"/>
    </xf>
    <xf numFmtId="164" fontId="3" fillId="0" borderId="11" xfId="0" applyNumberFormat="1" applyFont="1" applyBorder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0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14" fontId="3" fillId="0" borderId="9" xfId="0" applyNumberFormat="1" applyFont="1" applyBorder="1" applyAlignment="1" applyProtection="1">
      <alignment horizontal="center"/>
    </xf>
    <xf numFmtId="14" fontId="3" fillId="0" borderId="10" xfId="0" applyNumberFormat="1" applyFont="1" applyBorder="1" applyAlignment="1" applyProtection="1">
      <alignment horizontal="center"/>
    </xf>
    <xf numFmtId="14" fontId="3" fillId="0" borderId="11" xfId="0" applyNumberFormat="1" applyFont="1" applyBorder="1" applyAlignment="1" applyProtection="1">
      <alignment horizontal="center"/>
    </xf>
    <xf numFmtId="2" fontId="17" fillId="0" borderId="34" xfId="2" applyNumberFormat="1" applyFont="1" applyFill="1" applyBorder="1" applyAlignment="1">
      <alignment horizontal="center" vertical="center" wrapText="1"/>
    </xf>
    <xf numFmtId="0" fontId="15" fillId="0" borderId="34" xfId="2" applyFont="1" applyBorder="1" applyAlignment="1" applyProtection="1">
      <alignment horizontal="right" vertical="center" wrapText="1"/>
      <protection locked="0"/>
    </xf>
    <xf numFmtId="0" fontId="16" fillId="0" borderId="34" xfId="2" applyFont="1" applyFill="1" applyBorder="1" applyAlignment="1" applyProtection="1">
      <alignment horizontal="left" vertical="center"/>
      <protection locked="0"/>
    </xf>
    <xf numFmtId="0" fontId="15" fillId="0" borderId="34" xfId="2" applyFont="1" applyBorder="1" applyProtection="1">
      <protection locked="0"/>
    </xf>
    <xf numFmtId="0" fontId="17" fillId="0" borderId="34" xfId="2" applyFont="1" applyFill="1" applyBorder="1" applyAlignment="1" applyProtection="1">
      <alignment horizontal="left" vertical="center"/>
      <protection locked="0"/>
    </xf>
    <xf numFmtId="0" fontId="16" fillId="0" borderId="40" xfId="2" applyFont="1" applyFill="1" applyBorder="1" applyAlignment="1">
      <alignment horizontal="center" vertical="center" wrapText="1"/>
    </xf>
    <xf numFmtId="0" fontId="16" fillId="0" borderId="34" xfId="2" applyFont="1" applyFill="1" applyBorder="1" applyAlignment="1" applyProtection="1">
      <alignment horizontal="left" vertical="center" wrapText="1"/>
      <protection locked="0"/>
    </xf>
    <xf numFmtId="0" fontId="17" fillId="0" borderId="34" xfId="2" applyFont="1" applyFill="1" applyBorder="1" applyAlignment="1" applyProtection="1">
      <alignment horizontal="left" vertical="center" wrapText="1"/>
      <protection locked="0"/>
    </xf>
    <xf numFmtId="0" fontId="17" fillId="0" borderId="34" xfId="2" applyFont="1" applyFill="1" applyBorder="1" applyAlignment="1" applyProtection="1">
      <alignment horizontal="left" vertical="center" wrapText="1" shrinkToFit="1"/>
      <protection locked="0"/>
    </xf>
    <xf numFmtId="0" fontId="17" fillId="0" borderId="34" xfId="2" applyFont="1" applyFill="1" applyAlignment="1">
      <alignment horizontal="left" vertical="center" wrapText="1" shrinkToFit="1"/>
    </xf>
    <xf numFmtId="165" fontId="17" fillId="0" borderId="34" xfId="2" applyNumberFormat="1" applyFont="1" applyFill="1" applyBorder="1" applyAlignment="1" applyProtection="1">
      <alignment horizontal="left" vertical="center" wrapText="1"/>
      <protection locked="0"/>
    </xf>
    <xf numFmtId="0" fontId="17" fillId="0" borderId="34" xfId="2" applyFont="1" applyFill="1" applyAlignment="1">
      <alignment horizontal="left" vertical="center" wrapText="1"/>
    </xf>
    <xf numFmtId="0" fontId="17" fillId="0" borderId="34" xfId="2" applyFont="1" applyFill="1" applyAlignment="1">
      <alignment wrapText="1"/>
    </xf>
    <xf numFmtId="165" fontId="17" fillId="0" borderId="34" xfId="2" applyNumberFormat="1" applyFont="1" applyFill="1" applyBorder="1" applyAlignment="1" applyProtection="1">
      <alignment horizontal="left" vertical="center" wrapText="1" shrinkToFit="1"/>
      <protection locked="0"/>
    </xf>
    <xf numFmtId="165" fontId="17" fillId="0" borderId="34" xfId="2" applyNumberFormat="1" applyFont="1" applyFill="1" applyAlignment="1">
      <alignment horizontal="left" vertical="center" wrapText="1" shrinkToFi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280000</xdr:colOff>
      <xdr:row>1</xdr:row>
      <xdr:rowOff>0</xdr:rowOff>
    </xdr:from>
    <xdr:to>
      <xdr:col>3</xdr:col>
      <xdr:colOff>470000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absolute">
    <xdr:from>
      <xdr:col>8</xdr:col>
      <xdr:colOff>430000</xdr:colOff>
      <xdr:row>1</xdr:row>
      <xdr:rowOff>0</xdr:rowOff>
    </xdr:from>
    <xdr:to>
      <xdr:col>9</xdr:col>
      <xdr:colOff>420000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200000</xdr:colOff>
      <xdr:row>0</xdr:row>
      <xdr:rowOff>104972</xdr:rowOff>
    </xdr:from>
    <xdr:to>
      <xdr:col>11</xdr:col>
      <xdr:colOff>800000</xdr:colOff>
      <xdr:row>1</xdr:row>
      <xdr:rowOff>495028</xdr:rowOff>
    </xdr:to>
    <xdr:pic>
      <xdr:nvPicPr>
        <xdr:cNvPr id="2" name="Right_Logo">
          <a:extLst>
            <a:ext uri="{FF2B5EF4-FFF2-40B4-BE49-F238E27FC236}">
              <a16:creationId xmlns:a16="http://schemas.microsoft.com/office/drawing/2014/main" id="{F97A52B1-E5DD-4FD3-B174-2041E94E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00" y="104972"/>
          <a:ext cx="1552500" cy="96155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0</xdr:row>
      <xdr:rowOff>95250</xdr:rowOff>
    </xdr:from>
    <xdr:to>
      <xdr:col>1</xdr:col>
      <xdr:colOff>476250</xdr:colOff>
      <xdr:row>1</xdr:row>
      <xdr:rowOff>476250</xdr:rowOff>
    </xdr:to>
    <xdr:pic>
      <xdr:nvPicPr>
        <xdr:cNvPr id="3" name="Left_Logo">
          <a:extLst>
            <a:ext uri="{FF2B5EF4-FFF2-40B4-BE49-F238E27FC236}">
              <a16:creationId xmlns:a16="http://schemas.microsoft.com/office/drawing/2014/main" id="{EFA48526-6A69-4D7F-990B-BBDB17AFA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95250"/>
          <a:ext cx="952500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200000</xdr:colOff>
      <xdr:row>0</xdr:row>
      <xdr:rowOff>104972</xdr:rowOff>
    </xdr:from>
    <xdr:to>
      <xdr:col>11</xdr:col>
      <xdr:colOff>800000</xdr:colOff>
      <xdr:row>1</xdr:row>
      <xdr:rowOff>495028</xdr:rowOff>
    </xdr:to>
    <xdr:pic>
      <xdr:nvPicPr>
        <xdr:cNvPr id="2" name="Right_Logo">
          <a:extLst>
            <a:ext uri="{FF2B5EF4-FFF2-40B4-BE49-F238E27FC236}">
              <a16:creationId xmlns:a16="http://schemas.microsoft.com/office/drawing/2014/main" id="{9E9CA779-E870-4084-9E01-C6AB95E3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00" y="104972"/>
          <a:ext cx="1552500" cy="96155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0</xdr:row>
      <xdr:rowOff>95250</xdr:rowOff>
    </xdr:from>
    <xdr:to>
      <xdr:col>1</xdr:col>
      <xdr:colOff>476250</xdr:colOff>
      <xdr:row>1</xdr:row>
      <xdr:rowOff>476250</xdr:rowOff>
    </xdr:to>
    <xdr:pic>
      <xdr:nvPicPr>
        <xdr:cNvPr id="3" name="Left_Logo">
          <a:extLst>
            <a:ext uri="{FF2B5EF4-FFF2-40B4-BE49-F238E27FC236}">
              <a16:creationId xmlns:a16="http://schemas.microsoft.com/office/drawing/2014/main" id="{5D78A2F6-85B8-415B-AC66-08FA1586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95250"/>
          <a:ext cx="952500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534555</xdr:colOff>
      <xdr:row>44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DE85E-C1B3-4E20-A839-3836EB402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6020954" cy="851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4"/>
  <sheetViews>
    <sheetView showGridLines="0" zoomScaleNormal="100" zoomScaleSheetLayoutView="100" workbookViewId="0">
      <selection activeCell="R16" sqref="R16"/>
    </sheetView>
  </sheetViews>
  <sheetFormatPr defaultRowHeight="15"/>
  <cols>
    <col min="1" max="2" width="10.7109375" customWidth="1"/>
    <col min="3" max="3" width="8.42578125" customWidth="1"/>
    <col min="4" max="4" width="9.42578125" customWidth="1"/>
    <col min="5" max="5" width="8.42578125" customWidth="1"/>
    <col min="6" max="6" width="9.85546875" customWidth="1"/>
    <col min="7" max="7" width="8.5703125" customWidth="1"/>
    <col min="8" max="8" width="12.140625" customWidth="1"/>
    <col min="9" max="9" width="12.42578125" customWidth="1"/>
    <col min="10" max="10" width="15.140625" customWidth="1"/>
    <col min="11" max="11" width="16.140625" customWidth="1"/>
    <col min="12" max="12" width="10.140625" hidden="1" customWidth="1"/>
  </cols>
  <sheetData>
    <row r="1" spans="1:12" ht="6.75" customHeight="1">
      <c r="A1" s="1"/>
      <c r="B1" s="2"/>
      <c r="C1" s="2"/>
      <c r="D1" s="2"/>
      <c r="E1" s="2"/>
      <c r="F1" s="2"/>
      <c r="G1" s="2"/>
      <c r="H1" s="2"/>
      <c r="I1" s="3"/>
      <c r="J1" s="2"/>
      <c r="K1" s="2"/>
    </row>
    <row r="2" spans="1:12" ht="3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ht="18.75">
      <c r="A4" s="4" t="s">
        <v>0</v>
      </c>
      <c r="B4" s="5"/>
      <c r="C4" s="6"/>
      <c r="D4" s="2"/>
      <c r="E4" s="2"/>
      <c r="F4" s="2"/>
      <c r="G4" s="109" t="s">
        <v>1</v>
      </c>
      <c r="H4" s="110"/>
      <c r="I4" s="110"/>
      <c r="J4" s="110"/>
      <c r="K4" s="111"/>
    </row>
    <row r="5" spans="1:12">
      <c r="A5" s="7" t="s">
        <v>2</v>
      </c>
      <c r="B5" s="106" t="s">
        <v>3</v>
      </c>
      <c r="C5" s="127"/>
      <c r="D5" s="127"/>
      <c r="E5" s="107"/>
      <c r="F5" s="8" t="s">
        <v>4</v>
      </c>
      <c r="G5" s="118" t="s">
        <v>5</v>
      </c>
      <c r="H5" s="119"/>
      <c r="I5" s="9" t="s">
        <v>6</v>
      </c>
      <c r="J5" s="122">
        <v>43238.451574641207</v>
      </c>
      <c r="K5" s="123"/>
      <c r="L5" t="s">
        <v>7</v>
      </c>
    </row>
    <row r="6" spans="1:12">
      <c r="A6" s="10" t="s">
        <v>8</v>
      </c>
      <c r="B6" s="106" t="s">
        <v>9</v>
      </c>
      <c r="C6" s="127"/>
      <c r="D6" s="127"/>
      <c r="E6" s="107"/>
      <c r="F6" s="11" t="s">
        <v>10</v>
      </c>
      <c r="G6" s="106" t="s">
        <v>11</v>
      </c>
      <c r="H6" s="107"/>
      <c r="I6" s="9" t="s">
        <v>12</v>
      </c>
      <c r="J6" s="106" t="s">
        <v>13</v>
      </c>
      <c r="K6" s="107"/>
      <c r="L6" t="s">
        <v>14</v>
      </c>
    </row>
    <row r="7" spans="1:12">
      <c r="A7" s="7" t="s">
        <v>15</v>
      </c>
      <c r="B7" s="98" t="s">
        <v>16</v>
      </c>
      <c r="C7" s="99"/>
      <c r="D7" s="99"/>
      <c r="E7" s="100"/>
      <c r="F7" s="8" t="s">
        <v>17</v>
      </c>
      <c r="G7" s="84" t="s">
        <v>18</v>
      </c>
      <c r="H7" s="85"/>
      <c r="I7" s="85"/>
      <c r="J7" s="85"/>
      <c r="K7" s="86"/>
    </row>
    <row r="8" spans="1:12" ht="11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t="s">
        <v>19</v>
      </c>
    </row>
    <row r="9" spans="1:12">
      <c r="A9" s="80" t="s">
        <v>20</v>
      </c>
      <c r="B9" s="81"/>
      <c r="C9" s="78">
        <v>445230</v>
      </c>
      <c r="D9" s="79"/>
      <c r="E9" s="78">
        <v>76154</v>
      </c>
      <c r="F9" s="79"/>
      <c r="G9" s="13"/>
      <c r="H9" s="101" t="s">
        <v>21</v>
      </c>
      <c r="I9" s="103"/>
      <c r="J9" s="93" t="s">
        <v>22</v>
      </c>
      <c r="K9" s="95"/>
      <c r="L9" t="s">
        <v>23</v>
      </c>
    </row>
    <row r="10" spans="1:12">
      <c r="A10" s="82"/>
      <c r="B10" s="83"/>
      <c r="C10" s="78" t="s">
        <v>24</v>
      </c>
      <c r="D10" s="79"/>
      <c r="E10" s="78" t="s">
        <v>25</v>
      </c>
      <c r="F10" s="79"/>
      <c r="G10" s="13"/>
      <c r="H10" s="101" t="s">
        <v>26</v>
      </c>
      <c r="I10" s="103"/>
      <c r="J10" s="122">
        <v>43193.525328090276</v>
      </c>
      <c r="K10" s="123"/>
      <c r="L10" t="s">
        <v>27</v>
      </c>
    </row>
    <row r="11" spans="1:12">
      <c r="A11" s="80" t="s">
        <v>28</v>
      </c>
      <c r="B11" s="81"/>
      <c r="C11" s="78">
        <v>445230</v>
      </c>
      <c r="D11" s="79"/>
      <c r="E11" s="78">
        <v>76154</v>
      </c>
      <c r="F11" s="79"/>
      <c r="G11" s="13"/>
      <c r="H11" s="14" t="s">
        <v>29</v>
      </c>
      <c r="I11" s="15"/>
      <c r="J11" s="93" t="s">
        <v>30</v>
      </c>
      <c r="K11" s="95"/>
    </row>
    <row r="12" spans="1:12">
      <c r="A12" s="82"/>
      <c r="B12" s="83"/>
      <c r="C12" s="78" t="s">
        <v>24</v>
      </c>
      <c r="D12" s="79"/>
      <c r="E12" s="78" t="s">
        <v>25</v>
      </c>
      <c r="F12" s="79"/>
      <c r="G12" s="13"/>
      <c r="H12" s="14" t="s">
        <v>31</v>
      </c>
      <c r="I12" s="15"/>
      <c r="J12" s="16" t="s">
        <v>32</v>
      </c>
      <c r="K12" s="17">
        <v>43135.525324074071</v>
      </c>
    </row>
    <row r="13" spans="1:12">
      <c r="A13" s="101" t="s">
        <v>33</v>
      </c>
      <c r="B13" s="103"/>
      <c r="C13" s="78" t="s">
        <v>34</v>
      </c>
      <c r="D13" s="79"/>
      <c r="E13" s="78" t="s">
        <v>34</v>
      </c>
      <c r="F13" s="79"/>
      <c r="G13" s="13"/>
      <c r="H13" s="14" t="s">
        <v>35</v>
      </c>
      <c r="I13" s="15"/>
      <c r="J13" s="93" t="s">
        <v>36</v>
      </c>
      <c r="K13" s="95"/>
    </row>
    <row r="14" spans="1:12">
      <c r="A14" s="101" t="s">
        <v>37</v>
      </c>
      <c r="B14" s="103"/>
      <c r="C14" s="93" t="s">
        <v>38</v>
      </c>
      <c r="D14" s="94"/>
      <c r="E14" s="94"/>
      <c r="F14" s="95"/>
      <c r="G14" s="13"/>
      <c r="H14" s="14" t="s">
        <v>39</v>
      </c>
      <c r="I14" s="15"/>
      <c r="J14" s="93" t="s">
        <v>40</v>
      </c>
      <c r="K14" s="95"/>
    </row>
    <row r="15" spans="1:12">
      <c r="A15" s="101" t="s">
        <v>41</v>
      </c>
      <c r="B15" s="103"/>
      <c r="C15" s="78" t="s">
        <v>42</v>
      </c>
      <c r="D15" s="108"/>
      <c r="E15" s="108"/>
      <c r="F15" s="79"/>
      <c r="G15" s="18"/>
      <c r="H15" s="14" t="s">
        <v>43</v>
      </c>
      <c r="I15" s="15"/>
      <c r="J15" s="93" t="s">
        <v>44</v>
      </c>
      <c r="K15" s="95"/>
    </row>
    <row r="16" spans="1:12">
      <c r="A16" s="101" t="s">
        <v>45</v>
      </c>
      <c r="B16" s="103"/>
      <c r="C16" s="78" t="s">
        <v>46</v>
      </c>
      <c r="D16" s="108"/>
      <c r="E16" s="108"/>
      <c r="F16" s="79"/>
      <c r="G16" s="13"/>
      <c r="H16" s="14" t="s">
        <v>47</v>
      </c>
      <c r="I16" s="15"/>
      <c r="J16" s="93" t="s">
        <v>48</v>
      </c>
      <c r="K16" s="95"/>
    </row>
    <row r="17" spans="1:14">
      <c r="A17" s="101" t="s">
        <v>49</v>
      </c>
      <c r="B17" s="103"/>
      <c r="C17" s="93" t="s">
        <v>50</v>
      </c>
      <c r="D17" s="94"/>
      <c r="E17" s="94"/>
      <c r="F17" s="95"/>
      <c r="H17" s="14" t="s">
        <v>51</v>
      </c>
      <c r="I17" s="15"/>
      <c r="J17" s="93" t="s">
        <v>52</v>
      </c>
      <c r="K17" s="95"/>
    </row>
    <row r="18" spans="1:14" ht="18.75">
      <c r="A18" s="19" t="s">
        <v>53</v>
      </c>
      <c r="B18" s="12"/>
      <c r="C18" s="12"/>
      <c r="D18" s="12"/>
      <c r="E18" s="12"/>
      <c r="F18" s="20"/>
      <c r="G18" s="21"/>
      <c r="H18" s="22"/>
      <c r="I18" s="22"/>
      <c r="J18" s="23"/>
      <c r="K18" s="22"/>
    </row>
    <row r="19" spans="1:14">
      <c r="A19" s="106" t="s">
        <v>54</v>
      </c>
      <c r="B19" s="127"/>
      <c r="C19" s="107"/>
      <c r="D19" s="106" t="s">
        <v>55</v>
      </c>
      <c r="E19" s="107"/>
      <c r="F19" s="106" t="s">
        <v>56</v>
      </c>
      <c r="G19" s="107"/>
      <c r="H19" s="106" t="s">
        <v>57</v>
      </c>
      <c r="I19" s="107"/>
      <c r="J19" s="106" t="s">
        <v>58</v>
      </c>
      <c r="K19" s="107"/>
      <c r="N19" s="24"/>
    </row>
    <row r="20" spans="1:14">
      <c r="A20" s="124" t="s">
        <v>59</v>
      </c>
      <c r="B20" s="125"/>
      <c r="C20" s="126"/>
      <c r="D20" s="78">
        <v>0</v>
      </c>
      <c r="E20" s="79"/>
      <c r="F20" s="78">
        <v>9.32</v>
      </c>
      <c r="G20" s="79"/>
      <c r="H20" s="78"/>
      <c r="I20" s="79"/>
      <c r="J20" s="78"/>
      <c r="K20" s="79"/>
    </row>
    <row r="21" spans="1:14">
      <c r="A21" s="124" t="s">
        <v>60</v>
      </c>
      <c r="B21" s="125"/>
      <c r="C21" s="126"/>
      <c r="D21" s="78">
        <v>9.32</v>
      </c>
      <c r="E21" s="79"/>
      <c r="F21" s="78">
        <v>137</v>
      </c>
      <c r="G21" s="79"/>
      <c r="H21" s="78">
        <v>30.000000000000018</v>
      </c>
      <c r="I21" s="79"/>
      <c r="J21" s="78">
        <v>30</v>
      </c>
      <c r="K21" s="79"/>
    </row>
    <row r="22" spans="1:14">
      <c r="A22" s="124" t="s">
        <v>60</v>
      </c>
      <c r="B22" s="125"/>
      <c r="C22" s="126"/>
      <c r="D22" s="78">
        <v>137</v>
      </c>
      <c r="E22" s="79"/>
      <c r="F22" s="78">
        <v>137</v>
      </c>
      <c r="G22" s="79"/>
      <c r="H22" s="78">
        <v>30.000000000000018</v>
      </c>
      <c r="I22" s="79"/>
      <c r="J22" s="78">
        <v>30</v>
      </c>
      <c r="K22" s="79"/>
    </row>
    <row r="23" spans="1:14">
      <c r="A23" s="124" t="s">
        <v>60</v>
      </c>
      <c r="B23" s="125"/>
      <c r="C23" s="126"/>
      <c r="D23" s="78">
        <v>137</v>
      </c>
      <c r="E23" s="79"/>
      <c r="F23" s="78">
        <v>1102</v>
      </c>
      <c r="G23" s="79"/>
      <c r="H23" s="78">
        <v>24</v>
      </c>
      <c r="I23" s="79"/>
      <c r="J23" s="78">
        <v>20</v>
      </c>
      <c r="K23" s="79"/>
    </row>
    <row r="24" spans="1:14">
      <c r="A24" s="124" t="s">
        <v>60</v>
      </c>
      <c r="B24" s="125"/>
      <c r="C24" s="126"/>
      <c r="D24" s="78">
        <v>1102</v>
      </c>
      <c r="E24" s="79"/>
      <c r="F24" s="78">
        <v>2376</v>
      </c>
      <c r="G24" s="79"/>
      <c r="H24" s="78">
        <v>17.5</v>
      </c>
      <c r="I24" s="79"/>
      <c r="J24" s="78">
        <v>13.625</v>
      </c>
      <c r="K24" s="79"/>
    </row>
    <row r="25" spans="1:14">
      <c r="A25" s="124" t="s">
        <v>60</v>
      </c>
      <c r="B25" s="125"/>
      <c r="C25" s="126"/>
      <c r="D25" s="78">
        <v>2376</v>
      </c>
      <c r="E25" s="79"/>
      <c r="F25" s="78">
        <v>2680</v>
      </c>
      <c r="G25" s="79"/>
      <c r="H25" s="78">
        <v>12.25</v>
      </c>
      <c r="I25" s="79"/>
      <c r="J25" s="78">
        <v>12.25</v>
      </c>
      <c r="K25" s="79"/>
    </row>
    <row r="26" spans="1:14">
      <c r="A26" s="93"/>
      <c r="B26" s="94"/>
      <c r="C26" s="95"/>
      <c r="D26" s="106" t="s">
        <v>61</v>
      </c>
      <c r="E26" s="107"/>
      <c r="F26" s="120"/>
      <c r="G26" s="121"/>
      <c r="H26" s="25" t="s">
        <v>62</v>
      </c>
      <c r="I26" s="26"/>
      <c r="J26" s="104"/>
      <c r="K26" s="105"/>
      <c r="L26" s="27"/>
    </row>
    <row r="27" spans="1:14" ht="18.75">
      <c r="A27" s="28" t="s">
        <v>63</v>
      </c>
      <c r="B27" s="2"/>
      <c r="C27" s="2"/>
      <c r="D27" s="2"/>
      <c r="E27" s="2"/>
      <c r="F27" s="20"/>
      <c r="G27" s="20"/>
      <c r="H27" s="29"/>
      <c r="I27" s="29"/>
      <c r="J27" s="29"/>
      <c r="K27" s="29"/>
    </row>
    <row r="28" spans="1:14">
      <c r="A28" s="30" t="s">
        <v>64</v>
      </c>
      <c r="B28" s="30" t="s">
        <v>65</v>
      </c>
      <c r="C28" s="30" t="s">
        <v>66</v>
      </c>
      <c r="D28" s="30" t="s">
        <v>67</v>
      </c>
      <c r="E28" s="30" t="s">
        <v>68</v>
      </c>
      <c r="F28" s="30" t="s">
        <v>69</v>
      </c>
      <c r="G28" s="30" t="s">
        <v>70</v>
      </c>
      <c r="H28" s="31" t="s">
        <v>71</v>
      </c>
      <c r="I28" s="31" t="s">
        <v>72</v>
      </c>
      <c r="J28" s="31" t="s">
        <v>73</v>
      </c>
      <c r="K28" s="30" t="s">
        <v>74</v>
      </c>
    </row>
    <row r="29" spans="1:14">
      <c r="A29" s="32">
        <v>9.32</v>
      </c>
      <c r="B29" s="32">
        <v>0</v>
      </c>
      <c r="C29" s="32">
        <v>0</v>
      </c>
      <c r="D29" s="32">
        <v>9.32</v>
      </c>
      <c r="E29" s="32">
        <v>0</v>
      </c>
      <c r="F29" s="32">
        <v>0</v>
      </c>
      <c r="G29" s="32">
        <v>0</v>
      </c>
      <c r="H29" s="33">
        <v>445230</v>
      </c>
      <c r="I29" s="33">
        <v>76154</v>
      </c>
      <c r="J29" s="33" t="s">
        <v>24</v>
      </c>
      <c r="K29" s="32" t="s">
        <v>25</v>
      </c>
    </row>
    <row r="30" spans="1:14" ht="18.75">
      <c r="A30" s="28" t="s">
        <v>75</v>
      </c>
      <c r="B30" s="2"/>
      <c r="C30" s="2"/>
      <c r="D30" s="2"/>
      <c r="E30" s="2"/>
      <c r="F30" s="2"/>
      <c r="G30" s="2"/>
      <c r="H30" s="29"/>
      <c r="I30" s="29"/>
      <c r="J30" s="34"/>
      <c r="K30" s="35"/>
    </row>
    <row r="31" spans="1:14">
      <c r="A31" s="30" t="s">
        <v>64</v>
      </c>
      <c r="B31" s="30" t="s">
        <v>65</v>
      </c>
      <c r="C31" s="30" t="s">
        <v>66</v>
      </c>
      <c r="D31" s="30" t="s">
        <v>67</v>
      </c>
      <c r="E31" s="30" t="s">
        <v>68</v>
      </c>
      <c r="F31" s="30" t="s">
        <v>69</v>
      </c>
      <c r="G31" s="30" t="s">
        <v>70</v>
      </c>
      <c r="H31" s="31" t="s">
        <v>71</v>
      </c>
      <c r="I31" s="31" t="s">
        <v>72</v>
      </c>
      <c r="J31" s="31" t="s">
        <v>73</v>
      </c>
      <c r="K31" s="30" t="s">
        <v>74</v>
      </c>
    </row>
    <row r="32" spans="1:14">
      <c r="A32" s="32">
        <v>2680</v>
      </c>
      <c r="B32" s="32">
        <v>45</v>
      </c>
      <c r="C32" s="32">
        <v>108.05</v>
      </c>
      <c r="D32" s="32">
        <v>2525.5965664080964</v>
      </c>
      <c r="E32" s="32">
        <v>724.20302763945131</v>
      </c>
      <c r="F32" s="32">
        <v>-213.53636336538861</v>
      </c>
      <c r="G32" s="32">
        <v>692.01588668036015</v>
      </c>
      <c r="H32" s="33">
        <v>445016.47474185843</v>
      </c>
      <c r="I32" s="33">
        <v>76845.979897534693</v>
      </c>
      <c r="J32" s="33" t="s">
        <v>76</v>
      </c>
      <c r="K32" s="32" t="s">
        <v>77</v>
      </c>
    </row>
    <row r="33" spans="1:14" ht="18.75">
      <c r="A33" s="28" t="s">
        <v>78</v>
      </c>
      <c r="B33" s="2"/>
      <c r="C33" s="2"/>
      <c r="D33" s="2"/>
      <c r="E33" s="2"/>
      <c r="F33" s="36"/>
      <c r="G33" s="37" t="s">
        <v>79</v>
      </c>
      <c r="H33" s="93"/>
      <c r="I33" s="95"/>
      <c r="J33" s="38"/>
      <c r="K33" s="35"/>
      <c r="N33" s="24"/>
    </row>
    <row r="34" spans="1:14">
      <c r="A34" s="30" t="s">
        <v>64</v>
      </c>
      <c r="B34" s="30" t="s">
        <v>65</v>
      </c>
      <c r="C34" s="30" t="s">
        <v>66</v>
      </c>
      <c r="D34" s="30" t="s">
        <v>67</v>
      </c>
      <c r="E34" s="30" t="s">
        <v>68</v>
      </c>
      <c r="F34" s="30" t="s">
        <v>69</v>
      </c>
      <c r="G34" s="30" t="s">
        <v>70</v>
      </c>
      <c r="H34" s="31" t="s">
        <v>71</v>
      </c>
      <c r="I34" s="31" t="s">
        <v>72</v>
      </c>
      <c r="J34" s="31" t="s">
        <v>73</v>
      </c>
      <c r="K34" s="30" t="s">
        <v>74</v>
      </c>
    </row>
    <row r="35" spans="1:14">
      <c r="A35" s="32"/>
      <c r="B35" s="32"/>
      <c r="C35" s="32"/>
      <c r="D35" s="32"/>
      <c r="E35" s="32"/>
      <c r="F35" s="32"/>
      <c r="G35" s="32"/>
      <c r="H35" s="33"/>
      <c r="I35" s="33"/>
      <c r="J35" s="33"/>
      <c r="K35" s="32"/>
      <c r="N35" s="24"/>
    </row>
    <row r="36" spans="1:14" ht="18.75">
      <c r="A36" s="19" t="s">
        <v>80</v>
      </c>
      <c r="B36" s="12"/>
      <c r="C36" s="12"/>
      <c r="D36" s="12"/>
      <c r="E36" s="12"/>
      <c r="F36" s="29"/>
      <c r="G36" s="12"/>
      <c r="H36" s="12"/>
      <c r="I36" s="12"/>
      <c r="J36" s="12"/>
      <c r="K36" s="12"/>
    </row>
    <row r="37" spans="1:14">
      <c r="A37" s="87" t="s">
        <v>359</v>
      </c>
      <c r="B37" s="88"/>
      <c r="C37" s="88"/>
      <c r="D37" s="88"/>
      <c r="E37" s="88"/>
      <c r="F37" s="88"/>
      <c r="G37" s="88"/>
      <c r="H37" s="88"/>
      <c r="I37" s="88"/>
      <c r="J37" s="88"/>
      <c r="K37" s="89"/>
    </row>
    <row r="38" spans="1:14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7"/>
    </row>
    <row r="39" spans="1:14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2"/>
    </row>
    <row r="40" spans="1:14" ht="18.75">
      <c r="A40" s="19" t="s">
        <v>81</v>
      </c>
      <c r="F40" s="39" t="s">
        <v>82</v>
      </c>
      <c r="J40" s="40" t="s">
        <v>19</v>
      </c>
      <c r="K40" s="41"/>
    </row>
    <row r="41" spans="1:14">
      <c r="A41" s="87"/>
      <c r="B41" s="88"/>
      <c r="C41" s="88"/>
      <c r="D41" s="88"/>
      <c r="E41" s="88"/>
      <c r="F41" s="88"/>
      <c r="G41" s="88"/>
      <c r="H41" s="88"/>
      <c r="I41" s="88"/>
      <c r="J41" s="88"/>
      <c r="K41" s="89"/>
    </row>
    <row r="42" spans="1:14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2"/>
    </row>
    <row r="43" spans="1:14" ht="18.75">
      <c r="A43" s="42" t="s">
        <v>83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4">
      <c r="A44" s="101" t="s">
        <v>84</v>
      </c>
      <c r="B44" s="102"/>
      <c r="C44" s="102"/>
      <c r="D44" s="102"/>
      <c r="E44" s="103"/>
      <c r="F44" s="43"/>
      <c r="G44" s="14" t="s">
        <v>84</v>
      </c>
      <c r="H44" s="44"/>
      <c r="I44" s="44"/>
      <c r="J44" s="44"/>
      <c r="K44" s="15"/>
    </row>
    <row r="45" spans="1:14">
      <c r="A45" s="96" t="s">
        <v>85</v>
      </c>
      <c r="B45" s="97"/>
      <c r="C45" s="112"/>
      <c r="D45" s="113"/>
      <c r="E45" s="114"/>
      <c r="F45" s="45"/>
      <c r="G45" s="46" t="s">
        <v>86</v>
      </c>
      <c r="H45" s="27"/>
      <c r="I45" s="93"/>
      <c r="J45" s="94"/>
      <c r="K45" s="95"/>
    </row>
    <row r="46" spans="1:14">
      <c r="A46" s="96" t="s">
        <v>87</v>
      </c>
      <c r="B46" s="97"/>
      <c r="C46" s="93" t="s">
        <v>360</v>
      </c>
      <c r="D46" s="94"/>
      <c r="E46" s="95"/>
      <c r="F46" s="45"/>
      <c r="G46" s="96" t="s">
        <v>87</v>
      </c>
      <c r="H46" s="97"/>
      <c r="I46" s="93" t="s">
        <v>361</v>
      </c>
      <c r="J46" s="94"/>
      <c r="K46" s="95"/>
    </row>
    <row r="47" spans="1:14">
      <c r="A47" s="96" t="s">
        <v>88</v>
      </c>
      <c r="B47" s="97"/>
      <c r="C47" s="93" t="s">
        <v>362</v>
      </c>
      <c r="D47" s="94"/>
      <c r="E47" s="95"/>
      <c r="F47" s="45"/>
      <c r="G47" s="96" t="s">
        <v>88</v>
      </c>
      <c r="H47" s="97"/>
      <c r="I47" s="93" t="s">
        <v>362</v>
      </c>
      <c r="J47" s="94"/>
      <c r="K47" s="95"/>
    </row>
    <row r="48" spans="1:14">
      <c r="A48" s="96" t="s">
        <v>89</v>
      </c>
      <c r="B48" s="97"/>
      <c r="C48" s="128">
        <v>43221</v>
      </c>
      <c r="D48" s="129"/>
      <c r="E48" s="130"/>
      <c r="F48" s="45"/>
      <c r="G48" s="96" t="s">
        <v>89</v>
      </c>
      <c r="H48" s="97"/>
      <c r="I48" s="128">
        <v>43221</v>
      </c>
      <c r="J48" s="129"/>
      <c r="K48" s="130"/>
    </row>
    <row r="49" spans="1:14">
      <c r="A49" s="47"/>
      <c r="B49" s="47"/>
      <c r="C49" s="47"/>
      <c r="D49" s="47"/>
      <c r="E49" s="47"/>
      <c r="F49" s="45"/>
      <c r="G49" s="47"/>
      <c r="H49" s="47"/>
      <c r="I49" s="47"/>
      <c r="J49" s="47"/>
      <c r="K49" s="47"/>
    </row>
    <row r="50" spans="1:14">
      <c r="A50" s="101" t="s">
        <v>90</v>
      </c>
      <c r="B50" s="102"/>
      <c r="C50" s="102"/>
      <c r="D50" s="102"/>
      <c r="E50" s="103"/>
      <c r="F50" s="45"/>
      <c r="G50" s="2"/>
      <c r="H50" s="2"/>
      <c r="I50" s="2"/>
      <c r="J50" s="2"/>
      <c r="K50" s="2"/>
      <c r="N50" s="24"/>
    </row>
    <row r="51" spans="1:14">
      <c r="A51" s="96" t="s">
        <v>91</v>
      </c>
      <c r="B51" s="97"/>
      <c r="C51" s="93"/>
      <c r="D51" s="94"/>
      <c r="E51" s="95"/>
      <c r="F51" s="45"/>
      <c r="G51" s="2"/>
      <c r="H51" s="2"/>
      <c r="I51" s="2"/>
      <c r="J51" s="2"/>
      <c r="K51" s="2"/>
    </row>
    <row r="52" spans="1:14">
      <c r="A52" s="96" t="s">
        <v>87</v>
      </c>
      <c r="B52" s="97"/>
      <c r="C52" s="93"/>
      <c r="D52" s="94"/>
      <c r="E52" s="95"/>
      <c r="F52" s="45"/>
      <c r="G52" s="2"/>
      <c r="H52" s="2"/>
      <c r="I52" s="2"/>
      <c r="J52" s="2"/>
      <c r="K52" s="2"/>
    </row>
    <row r="53" spans="1:14">
      <c r="A53" s="96" t="s">
        <v>88</v>
      </c>
      <c r="B53" s="97"/>
      <c r="C53" s="93"/>
      <c r="D53" s="94"/>
      <c r="E53" s="95"/>
      <c r="F53" s="45"/>
      <c r="G53" s="2"/>
      <c r="H53" s="2"/>
      <c r="I53" s="2"/>
      <c r="J53" s="2"/>
      <c r="K53" s="2"/>
    </row>
    <row r="54" spans="1:14" ht="15.75" thickBot="1">
      <c r="A54" s="96" t="s">
        <v>89</v>
      </c>
      <c r="B54" s="97"/>
      <c r="C54" s="112"/>
      <c r="D54" s="113"/>
      <c r="E54" s="114"/>
      <c r="F54" s="45"/>
      <c r="G54" s="2"/>
      <c r="H54" s="2"/>
      <c r="I54" s="2"/>
      <c r="J54" s="2"/>
      <c r="K54" s="2"/>
    </row>
  </sheetData>
  <mergeCells count="107">
    <mergeCell ref="C51:E51"/>
    <mergeCell ref="A48:B48"/>
    <mergeCell ref="C16:F16"/>
    <mergeCell ref="J10:K10"/>
    <mergeCell ref="J21:K21"/>
    <mergeCell ref="A47:B47"/>
    <mergeCell ref="J23:K23"/>
    <mergeCell ref="H20:I20"/>
    <mergeCell ref="C45:E45"/>
    <mergeCell ref="A21:C21"/>
    <mergeCell ref="J11:K11"/>
    <mergeCell ref="D21:E21"/>
    <mergeCell ref="E10:F10"/>
    <mergeCell ref="C11:D11"/>
    <mergeCell ref="I48:K48"/>
    <mergeCell ref="H33:I33"/>
    <mergeCell ref="F24:G24"/>
    <mergeCell ref="C47:E47"/>
    <mergeCell ref="G48:H48"/>
    <mergeCell ref="J17:K17"/>
    <mergeCell ref="D22:E22"/>
    <mergeCell ref="F25:G25"/>
    <mergeCell ref="H23:I23"/>
    <mergeCell ref="G46:H46"/>
    <mergeCell ref="D19:E19"/>
    <mergeCell ref="A54:B54"/>
    <mergeCell ref="H25:I25"/>
    <mergeCell ref="I46:K46"/>
    <mergeCell ref="A51:B51"/>
    <mergeCell ref="C46:E46"/>
    <mergeCell ref="C53:E53"/>
    <mergeCell ref="A53:B53"/>
    <mergeCell ref="A50:E50"/>
    <mergeCell ref="B5:E5"/>
    <mergeCell ref="J25:K25"/>
    <mergeCell ref="F21:G21"/>
    <mergeCell ref="C10:D10"/>
    <mergeCell ref="H19:I19"/>
    <mergeCell ref="F23:G23"/>
    <mergeCell ref="A16:B16"/>
    <mergeCell ref="D25:E25"/>
    <mergeCell ref="A22:C22"/>
    <mergeCell ref="A13:B13"/>
    <mergeCell ref="J14:K14"/>
    <mergeCell ref="H22:I22"/>
    <mergeCell ref="A23:C23"/>
    <mergeCell ref="C14:F14"/>
    <mergeCell ref="A14:B14"/>
    <mergeCell ref="J16:K16"/>
    <mergeCell ref="C54:E54"/>
    <mergeCell ref="G47:H47"/>
    <mergeCell ref="F19:G19"/>
    <mergeCell ref="J22:K22"/>
    <mergeCell ref="H9:I9"/>
    <mergeCell ref="A46:B46"/>
    <mergeCell ref="J9:K9"/>
    <mergeCell ref="A37:K39"/>
    <mergeCell ref="G5:H5"/>
    <mergeCell ref="A26:C26"/>
    <mergeCell ref="E13:F13"/>
    <mergeCell ref="F26:G26"/>
    <mergeCell ref="F20:G20"/>
    <mergeCell ref="F22:G22"/>
    <mergeCell ref="J5:K5"/>
    <mergeCell ref="E9:F9"/>
    <mergeCell ref="H21:I21"/>
    <mergeCell ref="A24:C24"/>
    <mergeCell ref="E11:F11"/>
    <mergeCell ref="D23:E23"/>
    <mergeCell ref="J13:K13"/>
    <mergeCell ref="A20:C20"/>
    <mergeCell ref="A17:B17"/>
    <mergeCell ref="J24:K24"/>
    <mergeCell ref="C52:E52"/>
    <mergeCell ref="B7:E7"/>
    <mergeCell ref="A44:E44"/>
    <mergeCell ref="J26:K26"/>
    <mergeCell ref="G6:H6"/>
    <mergeCell ref="H10:I10"/>
    <mergeCell ref="C15:F15"/>
    <mergeCell ref="G4:K4"/>
    <mergeCell ref="J20:K20"/>
    <mergeCell ref="D24:E24"/>
    <mergeCell ref="C9:D9"/>
    <mergeCell ref="C17:F17"/>
    <mergeCell ref="A19:C19"/>
    <mergeCell ref="A52:B52"/>
    <mergeCell ref="J6:K6"/>
    <mergeCell ref="D26:E26"/>
    <mergeCell ref="A25:C25"/>
    <mergeCell ref="C48:E48"/>
    <mergeCell ref="B6:E6"/>
    <mergeCell ref="A15:B15"/>
    <mergeCell ref="I47:K47"/>
    <mergeCell ref="C13:D13"/>
    <mergeCell ref="J19:K19"/>
    <mergeCell ref="J15:K15"/>
    <mergeCell ref="E12:F12"/>
    <mergeCell ref="H24:I24"/>
    <mergeCell ref="C12:D12"/>
    <mergeCell ref="A9:B10"/>
    <mergeCell ref="G7:K7"/>
    <mergeCell ref="A41:K42"/>
    <mergeCell ref="A11:B12"/>
    <mergeCell ref="I45:K45"/>
    <mergeCell ref="A45:B45"/>
    <mergeCell ref="D20:E20"/>
  </mergeCells>
  <dataValidations count="2">
    <dataValidation type="list" allowBlank="1" showInputMessage="1" showErrorMessage="1" sqref="I26" xr:uid="{00000000-0002-0000-0000-000000000000}">
      <formula1>L4:L6</formula1>
    </dataValidation>
    <dataValidation type="list" allowBlank="1" showInputMessage="1" showErrorMessage="1" sqref="J40" xr:uid="{00000000-0002-0000-0000-000001000000}">
      <formula1>L7:L10</formula1>
    </dataValidation>
  </dataValidations>
  <printOptions horizontalCentered="1" verticalCentered="1"/>
  <pageMargins left="0" right="0" top="0" bottom="0" header="0" footer="0"/>
  <pageSetup paperSize="9" scale="82" orientation="portrait" r:id="rId1"/>
  <headerFooter>
    <oddFooter>&amp;C&amp;1#&amp;"Calibri"&amp;10 Schlumberger-Private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34"/>
  <sheetViews>
    <sheetView showGridLines="0" tabSelected="1" zoomScaleNormal="100" workbookViewId="0">
      <pane ySplit="23" topLeftCell="A48" activePane="bottomLeft" state="frozen"/>
      <selection pane="bottomLeft" activeCell="R14" sqref="R14"/>
    </sheetView>
  </sheetViews>
  <sheetFormatPr defaultColWidth="14.7109375" defaultRowHeight="14.25"/>
  <cols>
    <col min="1" max="2" width="14.28515625" style="48" customWidth="1"/>
    <col min="3" max="3" width="14.5703125" style="48" customWidth="1"/>
    <col min="4" max="4" width="15" style="48" customWidth="1"/>
    <col min="5" max="5" width="14.140625" style="48" customWidth="1"/>
    <col min="6" max="6" width="14.85546875" style="48" customWidth="1"/>
    <col min="7" max="7" width="14.7109375" style="48" customWidth="1"/>
    <col min="8" max="8" width="15" style="48" customWidth="1"/>
    <col min="9" max="9" width="14" style="48" customWidth="1"/>
    <col min="10" max="12" width="14.28515625" style="48" customWidth="1"/>
    <col min="13" max="13" width="14" style="48" customWidth="1"/>
    <col min="14" max="14" width="15.28515625" style="48" customWidth="1"/>
    <col min="15" max="15" width="14.5703125" style="48" customWidth="1"/>
    <col min="16" max="16" width="14" style="48" customWidth="1"/>
    <col min="17" max="17" width="14.28515625" style="48" customWidth="1"/>
    <col min="18" max="16384" width="14.7109375" style="48"/>
  </cols>
  <sheetData>
    <row r="1" spans="1:12" ht="45" customHeight="1"/>
    <row r="2" spans="1:12" ht="45" customHeight="1">
      <c r="A2" s="49"/>
      <c r="B2" s="49"/>
      <c r="C2" s="50" t="s">
        <v>92</v>
      </c>
      <c r="D2" s="50"/>
      <c r="E2" s="51"/>
      <c r="F2" s="51"/>
      <c r="G2" s="51"/>
      <c r="H2" s="51"/>
      <c r="I2" s="50"/>
      <c r="J2" s="50"/>
      <c r="K2" s="49"/>
      <c r="L2" s="49"/>
    </row>
    <row r="3" spans="1:12" s="55" customFormat="1" ht="20.25">
      <c r="A3" s="52"/>
      <c r="B3" s="52"/>
      <c r="C3" s="53" t="s">
        <v>93</v>
      </c>
      <c r="D3" s="53"/>
      <c r="E3" s="53"/>
      <c r="F3" s="54"/>
      <c r="G3" s="54"/>
      <c r="H3" s="53"/>
      <c r="I3" s="53"/>
      <c r="J3" s="53"/>
      <c r="K3" s="52"/>
      <c r="L3" s="52"/>
    </row>
    <row r="4" spans="1:12" s="56" customFormat="1" ht="13.5" customHeight="1"/>
    <row r="5" spans="1:12" s="57" customFormat="1" ht="14.1" customHeight="1">
      <c r="A5" s="137" t="s">
        <v>6</v>
      </c>
      <c r="B5" s="137"/>
      <c r="C5" s="144" t="s">
        <v>94</v>
      </c>
      <c r="D5" s="145"/>
      <c r="E5" s="145"/>
      <c r="F5" s="145"/>
      <c r="G5" s="137" t="s">
        <v>95</v>
      </c>
      <c r="H5" s="142"/>
      <c r="I5" s="138" t="s">
        <v>96</v>
      </c>
      <c r="J5" s="143"/>
      <c r="K5" s="143"/>
      <c r="L5" s="143"/>
    </row>
    <row r="6" spans="1:12" s="57" customFormat="1" ht="14.1" customHeight="1">
      <c r="A6" s="137" t="s">
        <v>2</v>
      </c>
      <c r="B6" s="137"/>
      <c r="C6" s="139" t="s">
        <v>3</v>
      </c>
      <c r="D6" s="140"/>
      <c r="E6" s="140"/>
      <c r="F6" s="140"/>
      <c r="G6" s="137" t="s">
        <v>97</v>
      </c>
      <c r="H6" s="142"/>
      <c r="I6" s="138" t="s">
        <v>52</v>
      </c>
      <c r="J6" s="143"/>
      <c r="K6" s="143"/>
      <c r="L6" s="143"/>
    </row>
    <row r="7" spans="1:12" s="57" customFormat="1" ht="14.1" customHeight="1">
      <c r="A7" s="137" t="s">
        <v>8</v>
      </c>
      <c r="B7" s="137"/>
      <c r="C7" s="139" t="s">
        <v>9</v>
      </c>
      <c r="D7" s="140"/>
      <c r="E7" s="140"/>
      <c r="F7" s="140"/>
      <c r="G7" s="137" t="s">
        <v>47</v>
      </c>
      <c r="H7" s="142"/>
      <c r="I7" s="138" t="s">
        <v>48</v>
      </c>
      <c r="J7" s="143"/>
      <c r="K7" s="143"/>
      <c r="L7" s="143"/>
    </row>
    <row r="8" spans="1:12" s="57" customFormat="1" ht="14.1" customHeight="1">
      <c r="A8" s="137" t="s">
        <v>98</v>
      </c>
      <c r="B8" s="137"/>
      <c r="C8" s="139" t="s">
        <v>99</v>
      </c>
      <c r="D8" s="140"/>
      <c r="E8" s="140"/>
      <c r="F8" s="140"/>
      <c r="G8" s="137" t="s">
        <v>41</v>
      </c>
      <c r="H8" s="142"/>
      <c r="I8" s="138" t="s">
        <v>100</v>
      </c>
      <c r="J8" s="143"/>
      <c r="K8" s="143"/>
      <c r="L8" s="143"/>
    </row>
    <row r="9" spans="1:12" s="57" customFormat="1" ht="14.1" customHeight="1">
      <c r="A9" s="137" t="s">
        <v>101</v>
      </c>
      <c r="B9" s="137"/>
      <c r="C9" s="139" t="s">
        <v>11</v>
      </c>
      <c r="D9" s="140"/>
      <c r="E9" s="140"/>
      <c r="F9" s="140"/>
      <c r="G9" s="137" t="s">
        <v>45</v>
      </c>
      <c r="H9" s="142"/>
      <c r="I9" s="138" t="s">
        <v>46</v>
      </c>
      <c r="J9" s="143"/>
      <c r="K9" s="143"/>
      <c r="L9" s="143"/>
    </row>
    <row r="10" spans="1:12" s="57" customFormat="1" ht="14.1" customHeight="1">
      <c r="A10" s="137" t="s">
        <v>12</v>
      </c>
      <c r="B10" s="137"/>
      <c r="C10" s="139" t="s">
        <v>13</v>
      </c>
      <c r="D10" s="140"/>
      <c r="E10" s="140"/>
      <c r="F10" s="140"/>
      <c r="G10" s="137" t="s">
        <v>102</v>
      </c>
      <c r="H10" s="142"/>
      <c r="I10" s="138" t="s">
        <v>50</v>
      </c>
      <c r="J10" s="143"/>
      <c r="K10" s="143"/>
      <c r="L10" s="143"/>
    </row>
    <row r="11" spans="1:12" s="57" customFormat="1" ht="14.1" customHeight="1">
      <c r="A11" s="137" t="s">
        <v>103</v>
      </c>
      <c r="B11" s="137"/>
      <c r="C11" s="139" t="s">
        <v>104</v>
      </c>
      <c r="D11" s="140"/>
      <c r="E11" s="140"/>
      <c r="F11" s="140"/>
      <c r="G11" s="137" t="s">
        <v>35</v>
      </c>
      <c r="H11" s="142"/>
      <c r="I11" s="138" t="s">
        <v>36</v>
      </c>
      <c r="J11" s="143"/>
      <c r="K11" s="143"/>
      <c r="L11" s="143"/>
    </row>
    <row r="12" spans="1:12" s="57" customFormat="1" ht="14.1" customHeight="1">
      <c r="A12" s="137" t="s">
        <v>105</v>
      </c>
      <c r="B12" s="137"/>
      <c r="C12" s="138" t="s">
        <v>18</v>
      </c>
      <c r="D12" s="142"/>
      <c r="E12" s="142"/>
      <c r="F12" s="142"/>
      <c r="G12" s="137" t="s">
        <v>106</v>
      </c>
      <c r="H12" s="137"/>
      <c r="I12" s="138" t="s">
        <v>107</v>
      </c>
      <c r="J12" s="138"/>
      <c r="K12" s="138"/>
      <c r="L12" s="138"/>
    </row>
    <row r="13" spans="1:12" s="57" customFormat="1" ht="14.1" customHeight="1">
      <c r="A13" s="137" t="s">
        <v>26</v>
      </c>
      <c r="B13" s="137"/>
      <c r="C13" s="139" t="s">
        <v>108</v>
      </c>
      <c r="D13" s="140"/>
      <c r="E13" s="140"/>
      <c r="F13" s="140"/>
      <c r="G13" s="137" t="s">
        <v>109</v>
      </c>
      <c r="H13" s="137"/>
      <c r="I13" s="138" t="s">
        <v>110</v>
      </c>
      <c r="J13" s="138"/>
      <c r="K13" s="138"/>
      <c r="L13" s="138"/>
    </row>
    <row r="14" spans="1:12" s="57" customFormat="1" ht="14.1" customHeight="1">
      <c r="A14" s="137" t="s">
        <v>111</v>
      </c>
      <c r="B14" s="137"/>
      <c r="C14" s="138" t="s">
        <v>112</v>
      </c>
      <c r="D14" s="142"/>
      <c r="E14" s="142"/>
      <c r="F14" s="142"/>
      <c r="G14" s="137" t="s">
        <v>113</v>
      </c>
      <c r="H14" s="137"/>
      <c r="I14" s="138" t="s">
        <v>114</v>
      </c>
      <c r="J14" s="138"/>
      <c r="K14" s="138"/>
      <c r="L14" s="138"/>
    </row>
    <row r="15" spans="1:12" s="57" customFormat="1" ht="14.1" customHeight="1">
      <c r="A15" s="137" t="s">
        <v>115</v>
      </c>
      <c r="B15" s="137"/>
      <c r="C15" s="139" t="s">
        <v>38</v>
      </c>
      <c r="D15" s="140"/>
      <c r="E15" s="140"/>
      <c r="F15" s="140"/>
      <c r="G15" s="137" t="s">
        <v>116</v>
      </c>
      <c r="H15" s="137"/>
      <c r="I15" s="138" t="s">
        <v>117</v>
      </c>
      <c r="J15" s="138"/>
      <c r="K15" s="138"/>
      <c r="L15" s="138"/>
    </row>
    <row r="16" spans="1:12" s="57" customFormat="1" ht="14.1" customHeight="1">
      <c r="A16" s="137" t="s">
        <v>118</v>
      </c>
      <c r="B16" s="137"/>
      <c r="C16" s="139" t="s">
        <v>119</v>
      </c>
      <c r="D16" s="140"/>
      <c r="E16" s="140"/>
      <c r="F16" s="140"/>
      <c r="G16" s="137" t="s">
        <v>120</v>
      </c>
      <c r="H16" s="137"/>
      <c r="I16" s="141" t="s">
        <v>121</v>
      </c>
      <c r="J16" s="141"/>
      <c r="K16" s="141"/>
      <c r="L16" s="141"/>
    </row>
    <row r="17" spans="1:14" s="57" customFormat="1" ht="14.1" customHeight="1">
      <c r="A17" s="137" t="s">
        <v>122</v>
      </c>
      <c r="B17" s="137"/>
      <c r="C17" s="139" t="s">
        <v>123</v>
      </c>
      <c r="D17" s="140"/>
      <c r="E17" s="140"/>
      <c r="F17" s="140"/>
      <c r="G17" s="137" t="s">
        <v>124</v>
      </c>
      <c r="H17" s="137"/>
      <c r="I17" s="138" t="s">
        <v>32</v>
      </c>
      <c r="J17" s="138"/>
      <c r="K17" s="138"/>
      <c r="L17" s="138"/>
    </row>
    <row r="18" spans="1:14" s="57" customFormat="1" ht="14.1" customHeight="1">
      <c r="A18" s="137" t="s">
        <v>125</v>
      </c>
      <c r="B18" s="137"/>
      <c r="C18" s="139" t="s">
        <v>126</v>
      </c>
      <c r="D18" s="140"/>
      <c r="E18" s="140"/>
      <c r="F18" s="140"/>
      <c r="G18" s="137" t="s">
        <v>127</v>
      </c>
      <c r="H18" s="137"/>
      <c r="I18" s="138" t="s">
        <v>30</v>
      </c>
      <c r="J18" s="138"/>
      <c r="K18" s="138"/>
      <c r="L18" s="138"/>
    </row>
    <row r="19" spans="1:14" s="57" customFormat="1" ht="12.75">
      <c r="A19" s="137" t="s">
        <v>128</v>
      </c>
      <c r="B19" s="137"/>
      <c r="C19" s="139">
        <v>0.99994799000000001</v>
      </c>
      <c r="D19" s="140"/>
      <c r="E19" s="140"/>
      <c r="F19" s="140"/>
      <c r="G19" s="137" t="s">
        <v>129</v>
      </c>
      <c r="H19" s="137"/>
      <c r="I19" s="138" t="s">
        <v>126</v>
      </c>
      <c r="J19" s="138"/>
      <c r="K19" s="138"/>
      <c r="L19" s="138"/>
    </row>
    <row r="20" spans="1:14" s="57" customFormat="1" ht="25.5" customHeight="1">
      <c r="A20" s="137" t="s">
        <v>130</v>
      </c>
      <c r="B20" s="137"/>
      <c r="C20" s="58" t="s">
        <v>131</v>
      </c>
      <c r="D20" s="59"/>
      <c r="E20" s="59"/>
      <c r="F20" s="59"/>
      <c r="G20" s="137" t="s">
        <v>132</v>
      </c>
      <c r="H20" s="137"/>
      <c r="I20" s="138" t="s">
        <v>44</v>
      </c>
      <c r="J20" s="138"/>
      <c r="K20" s="138"/>
      <c r="L20" s="138"/>
    </row>
    <row r="21" spans="1:14" s="57" customFormat="1" ht="12.75">
      <c r="A21" s="60"/>
      <c r="B21" s="60"/>
      <c r="C21" s="58"/>
      <c r="D21" s="59"/>
      <c r="E21" s="59"/>
      <c r="F21" s="59"/>
      <c r="G21" s="137" t="s">
        <v>133</v>
      </c>
      <c r="H21" s="137"/>
      <c r="I21" s="138" t="s">
        <v>134</v>
      </c>
      <c r="J21" s="138"/>
      <c r="K21" s="138"/>
      <c r="L21" s="138"/>
    </row>
    <row r="22" spans="1:14" s="57" customFormat="1" ht="14.1" customHeight="1">
      <c r="A22" s="61"/>
      <c r="B22" s="61"/>
      <c r="C22" s="61"/>
      <c r="D22" s="62"/>
      <c r="E22" s="62"/>
      <c r="F22" s="62"/>
      <c r="J22" s="63"/>
      <c r="K22" s="63"/>
      <c r="L22" s="63"/>
    </row>
    <row r="23" spans="1:14" s="66" customFormat="1" ht="25.5">
      <c r="A23" s="64" t="s">
        <v>135</v>
      </c>
      <c r="B23" s="65" t="s">
        <v>136</v>
      </c>
      <c r="C23" s="65" t="s">
        <v>137</v>
      </c>
      <c r="D23" s="65" t="s">
        <v>138</v>
      </c>
      <c r="E23" s="65" t="s">
        <v>139</v>
      </c>
      <c r="F23" s="65" t="s">
        <v>140</v>
      </c>
      <c r="G23" s="65" t="s">
        <v>141</v>
      </c>
      <c r="H23" s="65" t="s">
        <v>142</v>
      </c>
      <c r="I23" s="65" t="s">
        <v>143</v>
      </c>
      <c r="J23" s="65" t="s">
        <v>144</v>
      </c>
      <c r="K23" s="65" t="s">
        <v>145</v>
      </c>
      <c r="L23" s="65" t="s">
        <v>146</v>
      </c>
      <c r="M23" s="65" t="s">
        <v>147</v>
      </c>
      <c r="N23" s="65" t="s">
        <v>148</v>
      </c>
    </row>
    <row r="24" spans="1:14" s="69" customFormat="1" ht="12.75">
      <c r="A24" s="67" t="s">
        <v>149</v>
      </c>
      <c r="B24" s="68">
        <v>0</v>
      </c>
      <c r="C24" s="68">
        <v>0</v>
      </c>
      <c r="D24" s="68">
        <v>0</v>
      </c>
      <c r="E24" s="68">
        <v>0</v>
      </c>
      <c r="F24" s="68">
        <v>-8.42</v>
      </c>
      <c r="G24" s="68">
        <v>0</v>
      </c>
      <c r="H24" s="68">
        <v>0</v>
      </c>
      <c r="I24" s="68">
        <v>0</v>
      </c>
      <c r="J24" s="68" t="s">
        <v>27</v>
      </c>
      <c r="K24" s="68">
        <v>445230</v>
      </c>
      <c r="L24" s="68">
        <v>76154</v>
      </c>
      <c r="M24" s="68" t="s">
        <v>150</v>
      </c>
      <c r="N24" s="68" t="s">
        <v>151</v>
      </c>
    </row>
    <row r="25" spans="1:14" s="72" customFormat="1" ht="12.75">
      <c r="A25" s="70" t="s">
        <v>152</v>
      </c>
      <c r="B25" s="71">
        <v>9.32</v>
      </c>
      <c r="C25" s="71">
        <v>0</v>
      </c>
      <c r="D25" s="71">
        <v>0</v>
      </c>
      <c r="E25" s="71">
        <v>9.32</v>
      </c>
      <c r="F25" s="71">
        <v>0.9</v>
      </c>
      <c r="G25" s="71">
        <v>0</v>
      </c>
      <c r="H25" s="71">
        <v>0</v>
      </c>
      <c r="I25" s="71">
        <v>0</v>
      </c>
      <c r="J25" s="71">
        <v>0</v>
      </c>
      <c r="K25" s="71">
        <v>445230</v>
      </c>
      <c r="L25" s="71">
        <v>76154</v>
      </c>
      <c r="M25" s="71" t="s">
        <v>150</v>
      </c>
      <c r="N25" s="71" t="s">
        <v>151</v>
      </c>
    </row>
    <row r="26" spans="1:14" s="69" customFormat="1" ht="25.5">
      <c r="A26" s="67" t="s">
        <v>153</v>
      </c>
      <c r="B26" s="68">
        <v>143.59</v>
      </c>
      <c r="C26" s="68">
        <v>2.13</v>
      </c>
      <c r="D26" s="68">
        <v>43.05</v>
      </c>
      <c r="E26" s="68">
        <v>143.55907486028499</v>
      </c>
      <c r="F26" s="68">
        <v>135.13907486028501</v>
      </c>
      <c r="G26" s="68">
        <v>1.078580166174</v>
      </c>
      <c r="H26" s="68">
        <v>1.823600422673</v>
      </c>
      <c r="I26" s="68">
        <v>1.70351256998</v>
      </c>
      <c r="J26" s="68">
        <v>0.475906755046</v>
      </c>
      <c r="K26" s="68">
        <v>445231.82350558398</v>
      </c>
      <c r="L26" s="68">
        <v>76155.703423976694</v>
      </c>
      <c r="M26" s="68" t="s">
        <v>154</v>
      </c>
      <c r="N26" s="68" t="s">
        <v>155</v>
      </c>
    </row>
    <row r="27" spans="1:14" s="72" customFormat="1" ht="12.75">
      <c r="A27" s="70" t="s">
        <v>156</v>
      </c>
      <c r="B27" s="71">
        <v>171.48</v>
      </c>
      <c r="C27" s="71">
        <v>2.4300000000000002</v>
      </c>
      <c r="D27" s="71">
        <v>60.83</v>
      </c>
      <c r="E27" s="71">
        <v>171.42731331518999</v>
      </c>
      <c r="F27" s="71">
        <v>163.00731331519</v>
      </c>
      <c r="G27" s="71">
        <v>1.7087531058300001</v>
      </c>
      <c r="H27" s="71">
        <v>2.4905345801659999</v>
      </c>
      <c r="I27" s="71">
        <v>2.573598281168</v>
      </c>
      <c r="J27" s="71">
        <v>0.82214714135800004</v>
      </c>
      <c r="K27" s="71">
        <v>445232.49040505697</v>
      </c>
      <c r="L27" s="71">
        <v>76156.573464437999</v>
      </c>
      <c r="M27" s="71" t="s">
        <v>157</v>
      </c>
      <c r="N27" s="71" t="s">
        <v>158</v>
      </c>
    </row>
    <row r="28" spans="1:14" s="69" customFormat="1" ht="12.75">
      <c r="A28" s="67" t="s">
        <v>156</v>
      </c>
      <c r="B28" s="68">
        <v>200.72</v>
      </c>
      <c r="C28" s="68">
        <v>4.05</v>
      </c>
      <c r="D28" s="68">
        <v>79.42</v>
      </c>
      <c r="E28" s="68">
        <v>200.62036261174501</v>
      </c>
      <c r="F28" s="68">
        <v>192.20036261174499</v>
      </c>
      <c r="G28" s="68">
        <v>3.0462037613019999</v>
      </c>
      <c r="H28" s="68">
        <v>2.9822942034329998</v>
      </c>
      <c r="I28" s="68">
        <v>4.1300116080139997</v>
      </c>
      <c r="J28" s="68">
        <v>1.9602565345530001</v>
      </c>
      <c r="K28" s="68">
        <v>445232.98213910602</v>
      </c>
      <c r="L28" s="68">
        <v>76158.129796821595</v>
      </c>
      <c r="M28" s="68" t="s">
        <v>159</v>
      </c>
      <c r="N28" s="68" t="s">
        <v>160</v>
      </c>
    </row>
    <row r="29" spans="1:14" s="72" customFormat="1" ht="12.75">
      <c r="A29" s="70" t="s">
        <v>156</v>
      </c>
      <c r="B29" s="71">
        <v>228.81</v>
      </c>
      <c r="C29" s="71">
        <v>5.71</v>
      </c>
      <c r="D29" s="71">
        <v>88.57</v>
      </c>
      <c r="E29" s="71">
        <v>228.607976121744</v>
      </c>
      <c r="F29" s="71">
        <v>220.18797612174399</v>
      </c>
      <c r="G29" s="71">
        <v>5.2443231720950001</v>
      </c>
      <c r="H29" s="71">
        <v>3.1993165147060001</v>
      </c>
      <c r="I29" s="71">
        <v>6.5022550348130004</v>
      </c>
      <c r="J29" s="71">
        <v>1.952637638586</v>
      </c>
      <c r="K29" s="71">
        <v>445233.19915012998</v>
      </c>
      <c r="L29" s="71">
        <v>76160.501916876994</v>
      </c>
      <c r="M29" s="71" t="s">
        <v>161</v>
      </c>
      <c r="N29" s="71" t="s">
        <v>162</v>
      </c>
    </row>
    <row r="30" spans="1:14" s="69" customFormat="1" ht="25.5">
      <c r="A30" s="67" t="s">
        <v>163</v>
      </c>
      <c r="B30" s="68">
        <v>256.86</v>
      </c>
      <c r="C30" s="68">
        <v>7.22</v>
      </c>
      <c r="D30" s="68">
        <v>88.59</v>
      </c>
      <c r="E30" s="68">
        <v>256.47879459232701</v>
      </c>
      <c r="F30" s="68">
        <v>248.05879459232699</v>
      </c>
      <c r="G30" s="68">
        <v>8.2329801786620003</v>
      </c>
      <c r="H30" s="68">
        <v>3.277517052361</v>
      </c>
      <c r="I30" s="68">
        <v>9.6595202122790003</v>
      </c>
      <c r="J30" s="68">
        <v>1.6149750335699999</v>
      </c>
      <c r="K30" s="68">
        <v>445233.27734660101</v>
      </c>
      <c r="L30" s="68">
        <v>76163.659017856902</v>
      </c>
      <c r="M30" s="68" t="s">
        <v>161</v>
      </c>
      <c r="N30" s="68" t="s">
        <v>164</v>
      </c>
    </row>
    <row r="31" spans="1:14" s="72" customFormat="1" ht="25.5">
      <c r="A31" s="70" t="s">
        <v>163</v>
      </c>
      <c r="B31" s="71">
        <v>284.89999999999998</v>
      </c>
      <c r="C31" s="71">
        <v>6.54</v>
      </c>
      <c r="D31" s="71">
        <v>86.73</v>
      </c>
      <c r="E31" s="71">
        <v>284.31675625373799</v>
      </c>
      <c r="F31" s="71">
        <v>275.89675625373798</v>
      </c>
      <c r="G31" s="71">
        <v>11.394157075901999</v>
      </c>
      <c r="H31" s="71">
        <v>3.4119618435349999</v>
      </c>
      <c r="I31" s="71">
        <v>13.015291064015001</v>
      </c>
      <c r="J31" s="71">
        <v>0.76549790632900006</v>
      </c>
      <c r="K31" s="71">
        <v>445233.4117844</v>
      </c>
      <c r="L31" s="71">
        <v>76167.014614187603</v>
      </c>
      <c r="M31" s="71" t="s">
        <v>165</v>
      </c>
      <c r="N31" s="71" t="s">
        <v>166</v>
      </c>
    </row>
    <row r="32" spans="1:14" s="69" customFormat="1" ht="25.5">
      <c r="A32" s="67" t="s">
        <v>163</v>
      </c>
      <c r="B32" s="68">
        <v>312.51</v>
      </c>
      <c r="C32" s="68">
        <v>7.69</v>
      </c>
      <c r="D32" s="68">
        <v>90.35</v>
      </c>
      <c r="E32" s="68">
        <v>311.713825683371</v>
      </c>
      <c r="F32" s="68">
        <v>303.29382568337098</v>
      </c>
      <c r="G32" s="68">
        <v>14.630711332575</v>
      </c>
      <c r="H32" s="68">
        <v>3.4903691084470001</v>
      </c>
      <c r="I32" s="68">
        <v>16.432465876565001</v>
      </c>
      <c r="J32" s="68">
        <v>1.340560907775</v>
      </c>
      <c r="K32" s="68">
        <v>445233.49018758698</v>
      </c>
      <c r="L32" s="68">
        <v>76170.431611285807</v>
      </c>
      <c r="M32" s="68" t="s">
        <v>165</v>
      </c>
      <c r="N32" s="68" t="s">
        <v>167</v>
      </c>
    </row>
    <row r="33" spans="1:14" s="72" customFormat="1" ht="25.5">
      <c r="A33" s="70" t="s">
        <v>163</v>
      </c>
      <c r="B33" s="71">
        <v>340.21</v>
      </c>
      <c r="C33" s="71">
        <v>8.35</v>
      </c>
      <c r="D33" s="71">
        <v>88.51</v>
      </c>
      <c r="E33" s="71">
        <v>339.14279799066901</v>
      </c>
      <c r="F33" s="71">
        <v>330.72279799066899</v>
      </c>
      <c r="G33" s="71">
        <v>18.304708095392002</v>
      </c>
      <c r="H33" s="71">
        <v>3.5313470353169998</v>
      </c>
      <c r="I33" s="71">
        <v>20.296406000857999</v>
      </c>
      <c r="J33" s="71">
        <v>0.76688026963900002</v>
      </c>
      <c r="K33" s="71">
        <v>445233.53116338298</v>
      </c>
      <c r="L33" s="71">
        <v>76174.295350461107</v>
      </c>
      <c r="M33" s="71" t="s">
        <v>168</v>
      </c>
      <c r="N33" s="71" t="s">
        <v>169</v>
      </c>
    </row>
    <row r="34" spans="1:14" s="69" customFormat="1" ht="12.75">
      <c r="A34" s="67" t="s">
        <v>156</v>
      </c>
      <c r="B34" s="68">
        <v>368.61</v>
      </c>
      <c r="C34" s="68">
        <v>9.23</v>
      </c>
      <c r="D34" s="68">
        <v>88.49</v>
      </c>
      <c r="E34" s="68">
        <v>367.20896604923399</v>
      </c>
      <c r="F34" s="68">
        <v>358.78896604923398</v>
      </c>
      <c r="G34" s="68">
        <v>22.409539074923</v>
      </c>
      <c r="H34" s="68">
        <v>3.6449888419779999</v>
      </c>
      <c r="I34" s="68">
        <v>24.634774431934002</v>
      </c>
      <c r="J34" s="68">
        <v>0.92958305708900002</v>
      </c>
      <c r="K34" s="68">
        <v>445233.64479927998</v>
      </c>
      <c r="L34" s="68">
        <v>76178.633493269896</v>
      </c>
      <c r="M34" s="68" t="s">
        <v>168</v>
      </c>
      <c r="N34" s="68" t="s">
        <v>170</v>
      </c>
    </row>
    <row r="35" spans="1:14" s="72" customFormat="1" ht="12.75">
      <c r="A35" s="70" t="s">
        <v>156</v>
      </c>
      <c r="B35" s="71">
        <v>396.44</v>
      </c>
      <c r="C35" s="71">
        <v>10.38</v>
      </c>
      <c r="D35" s="71">
        <v>94.74</v>
      </c>
      <c r="E35" s="71">
        <v>394.632779283383</v>
      </c>
      <c r="F35" s="71">
        <v>386.21277928338299</v>
      </c>
      <c r="G35" s="71">
        <v>26.966558513948002</v>
      </c>
      <c r="H35" s="71">
        <v>3.4966181547540001</v>
      </c>
      <c r="I35" s="71">
        <v>29.364803878648999</v>
      </c>
      <c r="J35" s="71">
        <v>1.6874292893039999</v>
      </c>
      <c r="K35" s="71">
        <v>445233.49643630901</v>
      </c>
      <c r="L35" s="71">
        <v>76183.363276725504</v>
      </c>
      <c r="M35" s="71" t="s">
        <v>168</v>
      </c>
      <c r="N35" s="71" t="s">
        <v>171</v>
      </c>
    </row>
    <row r="36" spans="1:14" s="69" customFormat="1" ht="12.75">
      <c r="A36" s="67" t="s">
        <v>156</v>
      </c>
      <c r="B36" s="68">
        <v>424.21</v>
      </c>
      <c r="C36" s="68">
        <v>12.96</v>
      </c>
      <c r="D36" s="68">
        <v>99.87</v>
      </c>
      <c r="E36" s="68">
        <v>421.82717805016199</v>
      </c>
      <c r="F36" s="68">
        <v>413.40717805016197</v>
      </c>
      <c r="G36" s="68">
        <v>32.495003097891001</v>
      </c>
      <c r="H36" s="68">
        <v>2.7559626072180001</v>
      </c>
      <c r="I36" s="68">
        <v>34.926988667738001</v>
      </c>
      <c r="J36" s="68">
        <v>3.001510236314</v>
      </c>
      <c r="K36" s="68">
        <v>445232.75581927999</v>
      </c>
      <c r="L36" s="68">
        <v>76188.925172246294</v>
      </c>
      <c r="M36" s="68" t="s">
        <v>161</v>
      </c>
      <c r="N36" s="68" t="s">
        <v>172</v>
      </c>
    </row>
    <row r="37" spans="1:14" s="72" customFormat="1" ht="12.75">
      <c r="A37" s="70" t="s">
        <v>156</v>
      </c>
      <c r="B37" s="71">
        <v>451.76</v>
      </c>
      <c r="C37" s="71">
        <v>12.67</v>
      </c>
      <c r="D37" s="71">
        <v>105.98</v>
      </c>
      <c r="E37" s="71">
        <v>448.69216646819098</v>
      </c>
      <c r="F37" s="71">
        <v>440.27216646819102</v>
      </c>
      <c r="G37" s="71">
        <v>38.578051733629998</v>
      </c>
      <c r="H37" s="71">
        <v>1.394562482332</v>
      </c>
      <c r="I37" s="71">
        <v>40.875477318671997</v>
      </c>
      <c r="J37" s="71">
        <v>1.5084082605839999</v>
      </c>
      <c r="K37" s="71">
        <v>445231.39448995597</v>
      </c>
      <c r="L37" s="71">
        <v>76194.873351538699</v>
      </c>
      <c r="M37" s="71" t="s">
        <v>173</v>
      </c>
      <c r="N37" s="71" t="s">
        <v>174</v>
      </c>
    </row>
    <row r="38" spans="1:14" s="69" customFormat="1" ht="12.75">
      <c r="A38" s="67" t="s">
        <v>156</v>
      </c>
      <c r="B38" s="68">
        <v>480.28</v>
      </c>
      <c r="C38" s="68">
        <v>11.94</v>
      </c>
      <c r="D38" s="68">
        <v>107.66</v>
      </c>
      <c r="E38" s="68">
        <v>476.55687806545899</v>
      </c>
      <c r="F38" s="68">
        <v>468.13687806545897</v>
      </c>
      <c r="G38" s="68">
        <v>44.655049135186999</v>
      </c>
      <c r="H38" s="68">
        <v>-0.36153437254100002</v>
      </c>
      <c r="I38" s="68">
        <v>46.693614822930002</v>
      </c>
      <c r="J38" s="68">
        <v>0.85518915924500005</v>
      </c>
      <c r="K38" s="68">
        <v>445229.63848442998</v>
      </c>
      <c r="L38" s="68">
        <v>76200.691186463504</v>
      </c>
      <c r="M38" s="68" t="s">
        <v>175</v>
      </c>
      <c r="N38" s="68" t="s">
        <v>176</v>
      </c>
    </row>
    <row r="39" spans="1:14" s="72" customFormat="1" ht="12.75">
      <c r="A39" s="70" t="s">
        <v>156</v>
      </c>
      <c r="B39" s="71">
        <v>508.01</v>
      </c>
      <c r="C39" s="71">
        <v>13.16</v>
      </c>
      <c r="D39" s="71">
        <v>109.74</v>
      </c>
      <c r="E39" s="71">
        <v>503.62394709842602</v>
      </c>
      <c r="F39" s="71">
        <v>495.203947098426</v>
      </c>
      <c r="G39" s="71">
        <v>50.677900586093003</v>
      </c>
      <c r="H39" s="71">
        <v>-2.2979956343430001</v>
      </c>
      <c r="I39" s="71">
        <v>52.398328795962001</v>
      </c>
      <c r="J39" s="71">
        <v>1.4073247143059999</v>
      </c>
      <c r="K39" s="71">
        <v>445227.70212387602</v>
      </c>
      <c r="L39" s="71">
        <v>76206.395603755795</v>
      </c>
      <c r="M39" s="71" t="s">
        <v>177</v>
      </c>
      <c r="N39" s="71" t="s">
        <v>178</v>
      </c>
    </row>
    <row r="40" spans="1:14" s="69" customFormat="1" ht="12.75">
      <c r="A40" s="67" t="s">
        <v>156</v>
      </c>
      <c r="B40" s="68">
        <v>536.29</v>
      </c>
      <c r="C40" s="68">
        <v>14.17</v>
      </c>
      <c r="D40" s="68">
        <v>112.19</v>
      </c>
      <c r="E40" s="68">
        <v>531.10332008846206</v>
      </c>
      <c r="F40" s="68">
        <v>522.68332008846198</v>
      </c>
      <c r="G40" s="68">
        <v>57.344400716968998</v>
      </c>
      <c r="H40" s="68">
        <v>-4.6927188194690004</v>
      </c>
      <c r="I40" s="68">
        <v>58.633732584728001</v>
      </c>
      <c r="J40" s="68">
        <v>1.2346652795119999</v>
      </c>
      <c r="K40" s="68">
        <v>445225.30752523098</v>
      </c>
      <c r="L40" s="68">
        <v>76212.630683264593</v>
      </c>
      <c r="M40" s="68" t="s">
        <v>179</v>
      </c>
      <c r="N40" s="68" t="s">
        <v>180</v>
      </c>
    </row>
    <row r="41" spans="1:14" s="72" customFormat="1" ht="12.75">
      <c r="A41" s="70" t="s">
        <v>156</v>
      </c>
      <c r="B41" s="71">
        <v>564.30999999999995</v>
      </c>
      <c r="C41" s="71">
        <v>13.91</v>
      </c>
      <c r="D41" s="71">
        <v>113.38</v>
      </c>
      <c r="E41" s="71">
        <v>558.286301502377</v>
      </c>
      <c r="F41" s="71">
        <v>549.86630150237704</v>
      </c>
      <c r="G41" s="71">
        <v>64.112199311544998</v>
      </c>
      <c r="H41" s="71">
        <v>-7.3245367786740001</v>
      </c>
      <c r="I41" s="71">
        <v>64.900825017101994</v>
      </c>
      <c r="J41" s="71">
        <v>0.41595512803099999</v>
      </c>
      <c r="K41" s="71">
        <v>445222.67584414303</v>
      </c>
      <c r="L41" s="71">
        <v>76218.897449769094</v>
      </c>
      <c r="M41" s="71" t="s">
        <v>181</v>
      </c>
      <c r="N41" s="71" t="s">
        <v>182</v>
      </c>
    </row>
    <row r="42" spans="1:14" s="69" customFormat="1" ht="12.75">
      <c r="A42" s="67" t="s">
        <v>156</v>
      </c>
      <c r="B42" s="68">
        <v>592.17999999999995</v>
      </c>
      <c r="C42" s="68">
        <v>13.35</v>
      </c>
      <c r="D42" s="68">
        <v>112.05</v>
      </c>
      <c r="E42" s="68">
        <v>585.37137921742897</v>
      </c>
      <c r="F42" s="68">
        <v>576.95137921742901</v>
      </c>
      <c r="G42" s="68">
        <v>70.651407952745004</v>
      </c>
      <c r="H42" s="68">
        <v>-9.8618393394979993</v>
      </c>
      <c r="I42" s="68">
        <v>70.958006014682994</v>
      </c>
      <c r="J42" s="68">
        <v>0.69074755323699999</v>
      </c>
      <c r="K42" s="68">
        <v>445220.13867353799</v>
      </c>
      <c r="L42" s="68">
        <v>76224.9543157554</v>
      </c>
      <c r="M42" s="68" t="s">
        <v>183</v>
      </c>
      <c r="N42" s="68" t="s">
        <v>184</v>
      </c>
    </row>
    <row r="43" spans="1:14" s="72" customFormat="1" ht="12.75">
      <c r="A43" s="70" t="s">
        <v>156</v>
      </c>
      <c r="B43" s="71">
        <v>620.04999999999995</v>
      </c>
      <c r="C43" s="71">
        <v>13.22</v>
      </c>
      <c r="D43" s="71">
        <v>112.05</v>
      </c>
      <c r="E43" s="71">
        <v>612.49554617721697</v>
      </c>
      <c r="F43" s="71">
        <v>604.07554617721701</v>
      </c>
      <c r="G43" s="71">
        <v>77.035090805341994</v>
      </c>
      <c r="H43" s="71">
        <v>-12.266144790704001</v>
      </c>
      <c r="I43" s="71">
        <v>76.893951500669004</v>
      </c>
      <c r="J43" s="71">
        <v>0.13993541442400001</v>
      </c>
      <c r="K43" s="71">
        <v>445217.734493125</v>
      </c>
      <c r="L43" s="71">
        <v>76230.889952535203</v>
      </c>
      <c r="M43" s="71" t="s">
        <v>185</v>
      </c>
      <c r="N43" s="71" t="s">
        <v>186</v>
      </c>
    </row>
    <row r="44" spans="1:14" s="69" customFormat="1" ht="12.75">
      <c r="A44" s="67" t="s">
        <v>156</v>
      </c>
      <c r="B44" s="68">
        <v>647.70000000000005</v>
      </c>
      <c r="C44" s="68">
        <v>13</v>
      </c>
      <c r="D44" s="68">
        <v>112.85</v>
      </c>
      <c r="E44" s="68">
        <v>639.42489344406499</v>
      </c>
      <c r="F44" s="68">
        <v>631.00489344406503</v>
      </c>
      <c r="G44" s="68">
        <v>83.282638501798004</v>
      </c>
      <c r="H44" s="68">
        <v>-14.660736842102001</v>
      </c>
      <c r="I44" s="68">
        <v>82.690252598642999</v>
      </c>
      <c r="J44" s="68">
        <v>0.309410565099</v>
      </c>
      <c r="K44" s="68">
        <v>445215.34002560802</v>
      </c>
      <c r="L44" s="68">
        <v>76236.685952189306</v>
      </c>
      <c r="M44" s="68" t="s">
        <v>187</v>
      </c>
      <c r="N44" s="68" t="s">
        <v>188</v>
      </c>
    </row>
    <row r="45" spans="1:14" s="72" customFormat="1" ht="12.75">
      <c r="A45" s="70" t="s">
        <v>156</v>
      </c>
      <c r="B45" s="71">
        <v>675.87</v>
      </c>
      <c r="C45" s="71">
        <v>12.87</v>
      </c>
      <c r="D45" s="71">
        <v>114.06</v>
      </c>
      <c r="E45" s="71">
        <v>666.88011469360094</v>
      </c>
      <c r="F45" s="71">
        <v>658.46011469360099</v>
      </c>
      <c r="G45" s="71">
        <v>89.553368889661996</v>
      </c>
      <c r="H45" s="71">
        <v>-17.170160138084</v>
      </c>
      <c r="I45" s="71">
        <v>88.474775285907995</v>
      </c>
      <c r="J45" s="71">
        <v>0.31994461746500003</v>
      </c>
      <c r="K45" s="71">
        <v>445212.830732817</v>
      </c>
      <c r="L45" s="71">
        <v>76242.470174045302</v>
      </c>
      <c r="M45" s="71" t="s">
        <v>189</v>
      </c>
      <c r="N45" s="71" t="s">
        <v>190</v>
      </c>
    </row>
    <row r="46" spans="1:14" s="69" customFormat="1" ht="12.75">
      <c r="A46" s="67" t="s">
        <v>156</v>
      </c>
      <c r="B46" s="68">
        <v>703.9</v>
      </c>
      <c r="C46" s="68">
        <v>12.21</v>
      </c>
      <c r="D46" s="68">
        <v>116</v>
      </c>
      <c r="E46" s="68">
        <v>694.24142153962498</v>
      </c>
      <c r="F46" s="68">
        <v>685.82142153962502</v>
      </c>
      <c r="G46" s="68">
        <v>95.585463204044999</v>
      </c>
      <c r="H46" s="68">
        <v>-19.742273735811999</v>
      </c>
      <c r="I46" s="68">
        <v>93.989464380174994</v>
      </c>
      <c r="J46" s="68">
        <v>0.837891263665</v>
      </c>
      <c r="K46" s="68">
        <v>445210.25875298597</v>
      </c>
      <c r="L46" s="68">
        <v>76247.984576341303</v>
      </c>
      <c r="M46" s="68" t="s">
        <v>191</v>
      </c>
      <c r="N46" s="68" t="s">
        <v>192</v>
      </c>
    </row>
    <row r="47" spans="1:14" s="72" customFormat="1" ht="12.75">
      <c r="A47" s="70" t="s">
        <v>156</v>
      </c>
      <c r="B47" s="71">
        <v>731.75</v>
      </c>
      <c r="C47" s="71">
        <v>12.74</v>
      </c>
      <c r="D47" s="71">
        <v>114.18</v>
      </c>
      <c r="E47" s="71">
        <v>721.43390257940302</v>
      </c>
      <c r="F47" s="71">
        <v>713.01390257940295</v>
      </c>
      <c r="G47" s="71">
        <v>101.54744223801499</v>
      </c>
      <c r="H47" s="71">
        <v>-22.291167812392001</v>
      </c>
      <c r="I47" s="71">
        <v>99.437954234211006</v>
      </c>
      <c r="J47" s="71">
        <v>0.71077340914499998</v>
      </c>
      <c r="K47" s="71">
        <v>445207.70999146701</v>
      </c>
      <c r="L47" s="71">
        <v>76253.432782839896</v>
      </c>
      <c r="M47" s="71" t="s">
        <v>193</v>
      </c>
      <c r="N47" s="71" t="s">
        <v>194</v>
      </c>
    </row>
    <row r="48" spans="1:14" s="69" customFormat="1" ht="12.75">
      <c r="A48" s="67" t="s">
        <v>156</v>
      </c>
      <c r="B48" s="68">
        <v>759.59</v>
      </c>
      <c r="C48" s="68">
        <v>13.16</v>
      </c>
      <c r="D48" s="68">
        <v>114.62</v>
      </c>
      <c r="E48" s="68">
        <v>748.56576598351296</v>
      </c>
      <c r="F48" s="68">
        <v>740.145765983513</v>
      </c>
      <c r="G48" s="68">
        <v>107.740352069499</v>
      </c>
      <c r="H48" s="68">
        <v>-24.868834525699999</v>
      </c>
      <c r="I48" s="68">
        <v>105.119464654016</v>
      </c>
      <c r="J48" s="68">
        <v>0.464888534104</v>
      </c>
      <c r="K48" s="68">
        <v>445205.13245880901</v>
      </c>
      <c r="L48" s="68">
        <v>76259.113997785695</v>
      </c>
      <c r="M48" s="68" t="s">
        <v>195</v>
      </c>
      <c r="N48" s="68" t="s">
        <v>196</v>
      </c>
    </row>
    <row r="49" spans="1:14" s="72" customFormat="1" ht="12.75">
      <c r="A49" s="70" t="s">
        <v>156</v>
      </c>
      <c r="B49" s="71">
        <v>787.98</v>
      </c>
      <c r="C49" s="71">
        <v>12.93</v>
      </c>
      <c r="D49" s="71">
        <v>114.75</v>
      </c>
      <c r="E49" s="71">
        <v>776.22308979031504</v>
      </c>
      <c r="F49" s="71">
        <v>767.80308979031497</v>
      </c>
      <c r="G49" s="71">
        <v>114.09730201744701</v>
      </c>
      <c r="H49" s="71">
        <v>-27.544977099655</v>
      </c>
      <c r="I49" s="71">
        <v>110.94198136284</v>
      </c>
      <c r="J49" s="71">
        <v>0.24501311857399999</v>
      </c>
      <c r="K49" s="71">
        <v>445202.45645541098</v>
      </c>
      <c r="L49" s="71">
        <v>76264.936211687294</v>
      </c>
      <c r="M49" s="71" t="s">
        <v>197</v>
      </c>
      <c r="N49" s="71" t="s">
        <v>198</v>
      </c>
    </row>
    <row r="50" spans="1:14" s="69" customFormat="1" ht="12.75">
      <c r="A50" s="67" t="s">
        <v>156</v>
      </c>
      <c r="B50" s="68">
        <v>815.95</v>
      </c>
      <c r="C50" s="68">
        <v>11.86</v>
      </c>
      <c r="D50" s="68">
        <v>114.15</v>
      </c>
      <c r="E50" s="68">
        <v>803.54075195697601</v>
      </c>
      <c r="F50" s="68">
        <v>795.12075195697605</v>
      </c>
      <c r="G50" s="68">
        <v>120.055883106468</v>
      </c>
      <c r="H50" s="68">
        <v>-30.031075356816999</v>
      </c>
      <c r="I50" s="68">
        <v>116.406639088585</v>
      </c>
      <c r="J50" s="68">
        <v>1.155926518602</v>
      </c>
      <c r="K50" s="68">
        <v>445199.97048644698</v>
      </c>
      <c r="L50" s="68">
        <v>76270.400585216703</v>
      </c>
      <c r="M50" s="68" t="s">
        <v>199</v>
      </c>
      <c r="N50" s="68" t="s">
        <v>200</v>
      </c>
    </row>
    <row r="51" spans="1:14" s="72" customFormat="1" ht="12.75">
      <c r="A51" s="70" t="s">
        <v>156</v>
      </c>
      <c r="B51" s="71">
        <v>843.88</v>
      </c>
      <c r="C51" s="71">
        <v>11.35</v>
      </c>
      <c r="D51" s="71">
        <v>114.64</v>
      </c>
      <c r="E51" s="71">
        <v>830.89971490090795</v>
      </c>
      <c r="F51" s="71">
        <v>822.47971490090799</v>
      </c>
      <c r="G51" s="71">
        <v>125.633052400384</v>
      </c>
      <c r="H51" s="71">
        <v>-32.351151059339998</v>
      </c>
      <c r="I51" s="71">
        <v>121.52366483596499</v>
      </c>
      <c r="J51" s="71">
        <v>0.557930939939</v>
      </c>
      <c r="K51" s="71">
        <v>445197.65053140197</v>
      </c>
      <c r="L51" s="71">
        <v>76275.517344846798</v>
      </c>
      <c r="M51" s="71" t="s">
        <v>201</v>
      </c>
      <c r="N51" s="71" t="s">
        <v>202</v>
      </c>
    </row>
    <row r="52" spans="1:14" s="69" customFormat="1" ht="12.75">
      <c r="A52" s="67" t="s">
        <v>156</v>
      </c>
      <c r="B52" s="68">
        <v>871.83</v>
      </c>
      <c r="C52" s="68">
        <v>11.35</v>
      </c>
      <c r="D52" s="68">
        <v>114.42</v>
      </c>
      <c r="E52" s="68">
        <v>858.30310615788198</v>
      </c>
      <c r="F52" s="68">
        <v>849.88310615788203</v>
      </c>
      <c r="G52" s="68">
        <v>131.091616641954</v>
      </c>
      <c r="H52" s="68">
        <v>-34.634833563828003</v>
      </c>
      <c r="I52" s="68">
        <v>126.52780358922</v>
      </c>
      <c r="J52" s="68">
        <v>4.6471958025000003E-2</v>
      </c>
      <c r="K52" s="68">
        <v>445195.36696766398</v>
      </c>
      <c r="L52" s="68">
        <v>76280.5212233536</v>
      </c>
      <c r="M52" s="68" t="s">
        <v>203</v>
      </c>
      <c r="N52" s="68" t="s">
        <v>204</v>
      </c>
    </row>
    <row r="53" spans="1:14" s="72" customFormat="1" ht="12.75">
      <c r="A53" s="70" t="s">
        <v>156</v>
      </c>
      <c r="B53" s="71">
        <v>899.31</v>
      </c>
      <c r="C53" s="71">
        <v>11.26</v>
      </c>
      <c r="D53" s="71">
        <v>114.67</v>
      </c>
      <c r="E53" s="71">
        <v>885.24992584966105</v>
      </c>
      <c r="F53" s="71">
        <v>876.82992584966098</v>
      </c>
      <c r="G53" s="71">
        <v>136.43721867412501</v>
      </c>
      <c r="H53" s="71">
        <v>-36.872567846419003</v>
      </c>
      <c r="I53" s="71">
        <v>131.42797220550801</v>
      </c>
      <c r="J53" s="71">
        <v>0.1118755216</v>
      </c>
      <c r="K53" s="71">
        <v>445193.12934975699</v>
      </c>
      <c r="L53" s="71">
        <v>76285.421137130601</v>
      </c>
      <c r="M53" s="71" t="s">
        <v>205</v>
      </c>
      <c r="N53" s="71" t="s">
        <v>206</v>
      </c>
    </row>
    <row r="54" spans="1:14" s="69" customFormat="1" ht="12.75">
      <c r="A54" s="67" t="s">
        <v>156</v>
      </c>
      <c r="B54" s="68">
        <v>927.06</v>
      </c>
      <c r="C54" s="68">
        <v>11.07</v>
      </c>
      <c r="D54" s="68">
        <v>115.71</v>
      </c>
      <c r="E54" s="68">
        <v>912.47473444687296</v>
      </c>
      <c r="F54" s="68">
        <v>904.054734446873</v>
      </c>
      <c r="G54" s="68">
        <v>141.76137558436599</v>
      </c>
      <c r="H54" s="68">
        <v>-39.159126829883</v>
      </c>
      <c r="I54" s="68">
        <v>136.29032210186799</v>
      </c>
      <c r="J54" s="68">
        <v>0.29930551164000002</v>
      </c>
      <c r="K54" s="68">
        <v>445190.842909689</v>
      </c>
      <c r="L54" s="68">
        <v>76290.283234154398</v>
      </c>
      <c r="M54" s="68" t="s">
        <v>207</v>
      </c>
      <c r="N54" s="68" t="s">
        <v>208</v>
      </c>
    </row>
    <row r="55" spans="1:14" s="72" customFormat="1" ht="12.75">
      <c r="A55" s="70" t="s">
        <v>156</v>
      </c>
      <c r="B55" s="71">
        <v>955.25</v>
      </c>
      <c r="C55" s="71">
        <v>10.73</v>
      </c>
      <c r="D55" s="71">
        <v>115.25</v>
      </c>
      <c r="E55" s="71">
        <v>940.15611525788495</v>
      </c>
      <c r="F55" s="71">
        <v>931.73611525788499</v>
      </c>
      <c r="G55" s="71">
        <v>147.039510532256</v>
      </c>
      <c r="H55" s="71">
        <v>-41.452606137495003</v>
      </c>
      <c r="I55" s="71">
        <v>141.10225773207799</v>
      </c>
      <c r="J55" s="71">
        <v>0.37348113867400001</v>
      </c>
      <c r="K55" s="71">
        <v>445188.54954965698</v>
      </c>
      <c r="L55" s="71">
        <v>76295.094919533905</v>
      </c>
      <c r="M55" s="71" t="s">
        <v>209</v>
      </c>
      <c r="N55" s="71" t="s">
        <v>210</v>
      </c>
    </row>
    <row r="56" spans="1:14" s="69" customFormat="1" ht="12.75">
      <c r="A56" s="67" t="s">
        <v>156</v>
      </c>
      <c r="B56" s="68">
        <v>983.37</v>
      </c>
      <c r="C56" s="68">
        <v>10.050000000000001</v>
      </c>
      <c r="D56" s="68">
        <v>119.06</v>
      </c>
      <c r="E56" s="68">
        <v>967.81519926622104</v>
      </c>
      <c r="F56" s="68">
        <v>959.39519926622097</v>
      </c>
      <c r="G56" s="68">
        <v>152.03637290151801</v>
      </c>
      <c r="H56" s="68">
        <v>-43.761056117598997</v>
      </c>
      <c r="I56" s="68">
        <v>145.614661243093</v>
      </c>
      <c r="J56" s="68">
        <v>1.030977976715</v>
      </c>
      <c r="K56" s="68">
        <v>445186.24121973</v>
      </c>
      <c r="L56" s="68">
        <v>76299.607088371806</v>
      </c>
      <c r="M56" s="68" t="s">
        <v>211</v>
      </c>
      <c r="N56" s="68" t="s">
        <v>212</v>
      </c>
    </row>
    <row r="57" spans="1:14" s="72" customFormat="1" ht="12.75">
      <c r="A57" s="70" t="s">
        <v>156</v>
      </c>
      <c r="B57" s="71">
        <v>1011.38</v>
      </c>
      <c r="C57" s="71">
        <v>9.2799999999999994</v>
      </c>
      <c r="D57" s="71">
        <v>117.91</v>
      </c>
      <c r="E57" s="71">
        <v>995.42744948839697</v>
      </c>
      <c r="F57" s="71">
        <v>987.00744948839701</v>
      </c>
      <c r="G57" s="71">
        <v>156.65120111799999</v>
      </c>
      <c r="H57" s="71">
        <v>-46.005332080225998</v>
      </c>
      <c r="I57" s="71">
        <v>149.74678101683401</v>
      </c>
      <c r="J57" s="71">
        <v>0.85019493747200003</v>
      </c>
      <c r="K57" s="71">
        <v>445183.99706048402</v>
      </c>
      <c r="L57" s="71">
        <v>76303.738993249499</v>
      </c>
      <c r="M57" s="71" t="s">
        <v>213</v>
      </c>
      <c r="N57" s="71" t="s">
        <v>214</v>
      </c>
    </row>
    <row r="58" spans="1:14" s="69" customFormat="1" ht="12.75">
      <c r="A58" s="67" t="s">
        <v>156</v>
      </c>
      <c r="B58" s="68">
        <v>1038.94</v>
      </c>
      <c r="C58" s="68">
        <v>8.9</v>
      </c>
      <c r="D58" s="68">
        <v>120.58</v>
      </c>
      <c r="E58" s="68">
        <v>1022.64140731741</v>
      </c>
      <c r="F58" s="68">
        <v>1014.22140731741</v>
      </c>
      <c r="G58" s="68">
        <v>160.91251257606001</v>
      </c>
      <c r="H58" s="68">
        <v>-48.130093560486003</v>
      </c>
      <c r="I58" s="68">
        <v>153.545896057824</v>
      </c>
      <c r="J58" s="68">
        <v>0.61790515683500002</v>
      </c>
      <c r="K58" s="68">
        <v>445181.87240950501</v>
      </c>
      <c r="L58" s="68">
        <v>76307.537910712796</v>
      </c>
      <c r="M58" s="68" t="s">
        <v>215</v>
      </c>
      <c r="N58" s="68" t="s">
        <v>216</v>
      </c>
    </row>
    <row r="59" spans="1:14" s="72" customFormat="1" ht="12.75">
      <c r="A59" s="70" t="s">
        <v>156</v>
      </c>
      <c r="B59" s="71">
        <v>1067.19</v>
      </c>
      <c r="C59" s="71">
        <v>8.1999999999999993</v>
      </c>
      <c r="D59" s="71">
        <v>121.84</v>
      </c>
      <c r="E59" s="71">
        <v>1050.5773020084901</v>
      </c>
      <c r="F59" s="71">
        <v>1042.15730200849</v>
      </c>
      <c r="G59" s="71">
        <v>164.99201003823401</v>
      </c>
      <c r="H59" s="71">
        <v>-50.304684056623998</v>
      </c>
      <c r="I59" s="71">
        <v>157.138778968195</v>
      </c>
      <c r="J59" s="71">
        <v>0.76947690201700003</v>
      </c>
      <c r="K59" s="71">
        <v>445179.69793210097</v>
      </c>
      <c r="L59" s="71">
        <v>76311.130606770806</v>
      </c>
      <c r="M59" s="71" t="s">
        <v>217</v>
      </c>
      <c r="N59" s="71" t="s">
        <v>218</v>
      </c>
    </row>
    <row r="60" spans="1:14" s="69" customFormat="1" ht="12.75">
      <c r="A60" s="67" t="s">
        <v>156</v>
      </c>
      <c r="B60" s="68">
        <v>1087.46</v>
      </c>
      <c r="C60" s="68">
        <v>8.01</v>
      </c>
      <c r="D60" s="68">
        <v>119.22</v>
      </c>
      <c r="E60" s="68">
        <v>1070.64489252674</v>
      </c>
      <c r="F60" s="68">
        <v>1062.2248925267399</v>
      </c>
      <c r="G60" s="68">
        <v>167.774701433313</v>
      </c>
      <c r="H60" s="68">
        <v>-51.756706192990997</v>
      </c>
      <c r="I60" s="68">
        <v>159.59937712602499</v>
      </c>
      <c r="J60" s="68">
        <v>0.61470774536299999</v>
      </c>
      <c r="K60" s="68">
        <v>445178.24598547898</v>
      </c>
      <c r="L60" s="68">
        <v>76313.591076962199</v>
      </c>
      <c r="M60" s="68" t="s">
        <v>219</v>
      </c>
      <c r="N60" s="68" t="s">
        <v>220</v>
      </c>
    </row>
    <row r="61" spans="1:14" s="72" customFormat="1" ht="25.5">
      <c r="A61" s="70" t="s">
        <v>221</v>
      </c>
      <c r="B61" s="71">
        <v>1111.9000000000001</v>
      </c>
      <c r="C61" s="71">
        <v>7.85</v>
      </c>
      <c r="D61" s="71">
        <v>120.24</v>
      </c>
      <c r="E61" s="71">
        <v>1094.8511859474099</v>
      </c>
      <c r="F61" s="71">
        <v>1086.4311859474101</v>
      </c>
      <c r="G61" s="71">
        <v>171.069207267709</v>
      </c>
      <c r="H61" s="71">
        <v>-53.428509553452002</v>
      </c>
      <c r="I61" s="71">
        <v>162.527404442619</v>
      </c>
      <c r="J61" s="71">
        <v>0.26154675575800002</v>
      </c>
      <c r="K61" s="71">
        <v>445176.57426906301</v>
      </c>
      <c r="L61" s="71">
        <v>76316.518952003098</v>
      </c>
      <c r="M61" s="71" t="s">
        <v>222</v>
      </c>
      <c r="N61" s="71" t="s">
        <v>223</v>
      </c>
    </row>
    <row r="62" spans="1:14" s="69" customFormat="1" ht="12.75">
      <c r="A62" s="67" t="s">
        <v>156</v>
      </c>
      <c r="B62" s="68">
        <v>1139.92</v>
      </c>
      <c r="C62" s="68">
        <v>7.52</v>
      </c>
      <c r="D62" s="68">
        <v>120.73</v>
      </c>
      <c r="E62" s="68">
        <v>1122.6194817671901</v>
      </c>
      <c r="F62" s="68">
        <v>1114.19948176719</v>
      </c>
      <c r="G62" s="68">
        <v>174.719600149684</v>
      </c>
      <c r="H62" s="68">
        <v>-55.329107862291998</v>
      </c>
      <c r="I62" s="68">
        <v>165.756586601203</v>
      </c>
      <c r="J62" s="68">
        <v>0.36021382009300001</v>
      </c>
      <c r="K62" s="68">
        <v>445174.67376959702</v>
      </c>
      <c r="L62" s="68">
        <v>76319.747966224095</v>
      </c>
      <c r="M62" s="68" t="s">
        <v>224</v>
      </c>
      <c r="N62" s="68" t="s">
        <v>225</v>
      </c>
    </row>
    <row r="63" spans="1:14" s="72" customFormat="1" ht="12.75">
      <c r="A63" s="70" t="s">
        <v>156</v>
      </c>
      <c r="B63" s="71">
        <v>1167.9000000000001</v>
      </c>
      <c r="C63" s="71">
        <v>7.17</v>
      </c>
      <c r="D63" s="71">
        <v>121.8</v>
      </c>
      <c r="E63" s="71">
        <v>1150.3698574376201</v>
      </c>
      <c r="F63" s="71">
        <v>1141.94985743762</v>
      </c>
      <c r="G63" s="71">
        <v>178.19310070912201</v>
      </c>
      <c r="H63" s="71">
        <v>-57.184834100282004</v>
      </c>
      <c r="I63" s="71">
        <v>168.81444927931</v>
      </c>
      <c r="J63" s="71">
        <v>0.40289570006999997</v>
      </c>
      <c r="K63" s="71">
        <v>445172.81813986797</v>
      </c>
      <c r="L63" s="71">
        <v>76322.8056698742</v>
      </c>
      <c r="M63" s="71" t="s">
        <v>226</v>
      </c>
      <c r="N63" s="71" t="s">
        <v>227</v>
      </c>
    </row>
    <row r="64" spans="1:14" s="69" customFormat="1" ht="12.75">
      <c r="A64" s="67" t="s">
        <v>156</v>
      </c>
      <c r="B64" s="68">
        <v>1195.69</v>
      </c>
      <c r="C64" s="68">
        <v>6.81</v>
      </c>
      <c r="D64" s="68">
        <v>122.12</v>
      </c>
      <c r="E64" s="68">
        <v>1177.95326135909</v>
      </c>
      <c r="F64" s="68">
        <v>1169.5332613590899</v>
      </c>
      <c r="G64" s="68">
        <v>181.46708944390701</v>
      </c>
      <c r="H64" s="68">
        <v>-58.974768673824002</v>
      </c>
      <c r="I64" s="68">
        <v>171.683855473515</v>
      </c>
      <c r="J64" s="68">
        <v>0.39089469938100002</v>
      </c>
      <c r="K64" s="68">
        <v>445171.02829838201</v>
      </c>
      <c r="L64" s="68">
        <v>76325.674926841399</v>
      </c>
      <c r="M64" s="68" t="s">
        <v>228</v>
      </c>
      <c r="N64" s="68" t="s">
        <v>229</v>
      </c>
    </row>
    <row r="65" spans="1:14" s="72" customFormat="1" ht="12.75">
      <c r="A65" s="70" t="s">
        <v>156</v>
      </c>
      <c r="B65" s="71">
        <v>1223.97</v>
      </c>
      <c r="C65" s="71">
        <v>6.52</v>
      </c>
      <c r="D65" s="71">
        <v>122.42</v>
      </c>
      <c r="E65" s="71">
        <v>1206.04210848702</v>
      </c>
      <c r="F65" s="71">
        <v>1197.6221084870199</v>
      </c>
      <c r="G65" s="71">
        <v>184.640108048831</v>
      </c>
      <c r="H65" s="71">
        <v>-60.727050247191002</v>
      </c>
      <c r="I65" s="71">
        <v>174.459255325496</v>
      </c>
      <c r="J65" s="71">
        <v>0.30984636841099999</v>
      </c>
      <c r="K65" s="71">
        <v>445169.27610793803</v>
      </c>
      <c r="L65" s="71">
        <v>76328.450182355198</v>
      </c>
      <c r="M65" s="71" t="s">
        <v>230</v>
      </c>
      <c r="N65" s="71" t="s">
        <v>231</v>
      </c>
    </row>
    <row r="66" spans="1:14" s="69" customFormat="1" ht="12.75">
      <c r="A66" s="67" t="s">
        <v>156</v>
      </c>
      <c r="B66" s="68">
        <v>1251.6199999999999</v>
      </c>
      <c r="C66" s="68">
        <v>6.39</v>
      </c>
      <c r="D66" s="68">
        <v>121.56</v>
      </c>
      <c r="E66" s="68">
        <v>1233.5168207987599</v>
      </c>
      <c r="F66" s="68">
        <v>1225.0968207987601</v>
      </c>
      <c r="G66" s="68">
        <v>187.64878999154701</v>
      </c>
      <c r="H66" s="68">
        <v>-62.373991571825997</v>
      </c>
      <c r="I66" s="68">
        <v>177.09549474678499</v>
      </c>
      <c r="J66" s="68">
        <v>0.175777267997</v>
      </c>
      <c r="K66" s="68">
        <v>445167.62925226497</v>
      </c>
      <c r="L66" s="68">
        <v>76331.086284675606</v>
      </c>
      <c r="M66" s="68" t="s">
        <v>232</v>
      </c>
      <c r="N66" s="68" t="s">
        <v>233</v>
      </c>
    </row>
    <row r="67" spans="1:14" s="72" customFormat="1" ht="12.75">
      <c r="A67" s="70" t="s">
        <v>156</v>
      </c>
      <c r="B67" s="71">
        <v>1279.5999999999999</v>
      </c>
      <c r="C67" s="71">
        <v>8.06</v>
      </c>
      <c r="D67" s="71">
        <v>120.24</v>
      </c>
      <c r="E67" s="71">
        <v>1261.2736939639401</v>
      </c>
      <c r="F67" s="71">
        <v>1252.85369396394</v>
      </c>
      <c r="G67" s="71">
        <v>191.07183730838099</v>
      </c>
      <c r="H67" s="71">
        <v>-64.176929186821994</v>
      </c>
      <c r="I67" s="71">
        <v>180.11705804072</v>
      </c>
      <c r="J67" s="71">
        <v>1.7992727085210001</v>
      </c>
      <c r="K67" s="71">
        <v>445165.826408414</v>
      </c>
      <c r="L67" s="71">
        <v>76334.107690829405</v>
      </c>
      <c r="M67" s="71" t="s">
        <v>234</v>
      </c>
      <c r="N67" s="71" t="s">
        <v>235</v>
      </c>
    </row>
    <row r="68" spans="1:14" s="69" customFormat="1" ht="12.75">
      <c r="A68" s="67" t="s">
        <v>156</v>
      </c>
      <c r="B68" s="68">
        <v>1307.4000000000001</v>
      </c>
      <c r="C68" s="68">
        <v>11.15</v>
      </c>
      <c r="D68" s="68">
        <v>117.59</v>
      </c>
      <c r="E68" s="68">
        <v>1288.68078998019</v>
      </c>
      <c r="F68" s="68">
        <v>1280.2607899801901</v>
      </c>
      <c r="G68" s="68">
        <v>195.61937096783601</v>
      </c>
      <c r="H68" s="68">
        <v>-66.403905040414998</v>
      </c>
      <c r="I68" s="68">
        <v>184.184075444976</v>
      </c>
      <c r="J68" s="68">
        <v>3.3676265704119999</v>
      </c>
      <c r="K68" s="68">
        <v>445163.59954837698</v>
      </c>
      <c r="L68" s="68">
        <v>76338.174496723397</v>
      </c>
      <c r="M68" s="68" t="s">
        <v>236</v>
      </c>
      <c r="N68" s="68" t="s">
        <v>237</v>
      </c>
    </row>
    <row r="69" spans="1:14" s="72" customFormat="1" ht="12.75">
      <c r="A69" s="70" t="s">
        <v>156</v>
      </c>
      <c r="B69" s="71">
        <v>1336.11</v>
      </c>
      <c r="C69" s="71">
        <v>13.3</v>
      </c>
      <c r="D69" s="71">
        <v>117.28</v>
      </c>
      <c r="E69" s="71">
        <v>1316.7381071864299</v>
      </c>
      <c r="F69" s="71">
        <v>1308.3181071864301</v>
      </c>
      <c r="G69" s="71">
        <v>201.60639362338</v>
      </c>
      <c r="H69" s="71">
        <v>-69.203491900385004</v>
      </c>
      <c r="I69" s="71">
        <v>189.580051683221</v>
      </c>
      <c r="J69" s="71">
        <v>2.2476428685549998</v>
      </c>
      <c r="K69" s="71">
        <v>445160.80010711303</v>
      </c>
      <c r="L69" s="71">
        <v>76343.570192337196</v>
      </c>
      <c r="M69" s="71" t="s">
        <v>238</v>
      </c>
      <c r="N69" s="71" t="s">
        <v>239</v>
      </c>
    </row>
    <row r="70" spans="1:14" s="69" customFormat="1" ht="12.75">
      <c r="A70" s="67" t="s">
        <v>156</v>
      </c>
      <c r="B70" s="68">
        <v>1363.5</v>
      </c>
      <c r="C70" s="68">
        <v>13.32</v>
      </c>
      <c r="D70" s="68">
        <v>117.59</v>
      </c>
      <c r="E70" s="68">
        <v>1343.39237967391</v>
      </c>
      <c r="F70" s="68">
        <v>1334.9723796739099</v>
      </c>
      <c r="G70" s="68">
        <v>207.81641969109299</v>
      </c>
      <c r="H70" s="68">
        <v>-72.108800501822003</v>
      </c>
      <c r="I70" s="68">
        <v>195.176562692564</v>
      </c>
      <c r="J70" s="68">
        <v>8.1180051340999995E-2</v>
      </c>
      <c r="K70" s="68">
        <v>445157.89494960598</v>
      </c>
      <c r="L70" s="68">
        <v>76349.166412292994</v>
      </c>
      <c r="M70" s="68" t="s">
        <v>240</v>
      </c>
      <c r="N70" s="68" t="s">
        <v>241</v>
      </c>
    </row>
    <row r="71" spans="1:14" s="72" customFormat="1" ht="12.75">
      <c r="A71" s="70" t="s">
        <v>242</v>
      </c>
      <c r="B71" s="71">
        <v>1391.19</v>
      </c>
      <c r="C71" s="71">
        <v>12.9</v>
      </c>
      <c r="D71" s="71">
        <v>117.05</v>
      </c>
      <c r="E71" s="71">
        <v>1370.36062832024</v>
      </c>
      <c r="F71" s="71">
        <v>1361.94062832024</v>
      </c>
      <c r="G71" s="71">
        <v>214.00383182644899</v>
      </c>
      <c r="H71" s="71">
        <v>-74.991756820752997</v>
      </c>
      <c r="I71" s="71">
        <v>200.75639266778501</v>
      </c>
      <c r="J71" s="71">
        <v>0.47398801335099999</v>
      </c>
      <c r="K71" s="71">
        <v>445155.01214321901</v>
      </c>
      <c r="L71" s="71">
        <v>76354.745952082201</v>
      </c>
      <c r="M71" s="71" t="s">
        <v>243</v>
      </c>
      <c r="N71" s="71" t="s">
        <v>244</v>
      </c>
    </row>
    <row r="72" spans="1:14" s="69" customFormat="1" ht="12.75">
      <c r="A72" s="67" t="s">
        <v>3</v>
      </c>
      <c r="B72" s="68">
        <v>1419.25</v>
      </c>
      <c r="C72" s="68">
        <v>13.05</v>
      </c>
      <c r="D72" s="68">
        <v>115.1</v>
      </c>
      <c r="E72" s="68">
        <v>1397.70432915059</v>
      </c>
      <c r="F72" s="68">
        <v>1389.2843291505901</v>
      </c>
      <c r="G72" s="68">
        <v>220.231865580781</v>
      </c>
      <c r="H72" s="68">
        <v>-77.760055699259993</v>
      </c>
      <c r="I72" s="68">
        <v>206.414825812701</v>
      </c>
      <c r="J72" s="68">
        <v>0.49477773476300002</v>
      </c>
      <c r="K72" s="68">
        <v>445152.243988309</v>
      </c>
      <c r="L72" s="68">
        <v>76360.404090953307</v>
      </c>
      <c r="M72" s="68" t="s">
        <v>245</v>
      </c>
      <c r="N72" s="68" t="s">
        <v>246</v>
      </c>
    </row>
    <row r="73" spans="1:14" s="72" customFormat="1" ht="12.75">
      <c r="A73" s="70" t="s">
        <v>3</v>
      </c>
      <c r="B73" s="71">
        <v>1447.01</v>
      </c>
      <c r="C73" s="71">
        <v>12.97</v>
      </c>
      <c r="D73" s="71">
        <v>110.28</v>
      </c>
      <c r="E73" s="71">
        <v>1424.75255761277</v>
      </c>
      <c r="F73" s="71">
        <v>1416.33255761277</v>
      </c>
      <c r="G73" s="71">
        <v>226.44963929176299</v>
      </c>
      <c r="H73" s="71">
        <v>-80.169388124660998</v>
      </c>
      <c r="I73" s="71">
        <v>212.17528674247899</v>
      </c>
      <c r="J73" s="71">
        <v>1.175490885863</v>
      </c>
      <c r="K73" s="71">
        <v>445149.83478118398</v>
      </c>
      <c r="L73" s="71">
        <v>76366.164252303206</v>
      </c>
      <c r="M73" s="71" t="s">
        <v>247</v>
      </c>
      <c r="N73" s="71" t="s">
        <v>248</v>
      </c>
    </row>
    <row r="74" spans="1:14" s="69" customFormat="1" ht="12.75">
      <c r="A74" s="67" t="s">
        <v>3</v>
      </c>
      <c r="B74" s="68">
        <v>1474.91</v>
      </c>
      <c r="C74" s="68">
        <v>12.95</v>
      </c>
      <c r="D74" s="68">
        <v>105.31</v>
      </c>
      <c r="E74" s="68">
        <v>1451.94271423793</v>
      </c>
      <c r="F74" s="68">
        <v>1443.5227142379299</v>
      </c>
      <c r="G74" s="68">
        <v>232.70098643292201</v>
      </c>
      <c r="H74" s="68">
        <v>-82.080108731096004</v>
      </c>
      <c r="I74" s="68">
        <v>218.127596138809</v>
      </c>
      <c r="J74" s="68">
        <v>1.1983580328679999</v>
      </c>
      <c r="K74" s="68">
        <v>445147.92415994703</v>
      </c>
      <c r="L74" s="68">
        <v>76372.116252142296</v>
      </c>
      <c r="M74" s="68" t="s">
        <v>249</v>
      </c>
      <c r="N74" s="68" t="s">
        <v>250</v>
      </c>
    </row>
    <row r="75" spans="1:14" s="72" customFormat="1" ht="12.75">
      <c r="A75" s="70" t="s">
        <v>3</v>
      </c>
      <c r="B75" s="71">
        <v>1503.47</v>
      </c>
      <c r="C75" s="71">
        <v>13.1</v>
      </c>
      <c r="D75" s="71">
        <v>101.61</v>
      </c>
      <c r="E75" s="71">
        <v>1479.7684004335299</v>
      </c>
      <c r="F75" s="71">
        <v>1471.3484004335301</v>
      </c>
      <c r="G75" s="71">
        <v>239.11887417806301</v>
      </c>
      <c r="H75" s="71">
        <v>-83.576468308789003</v>
      </c>
      <c r="I75" s="71">
        <v>224.384659105369</v>
      </c>
      <c r="J75" s="71">
        <v>0.88983897046600002</v>
      </c>
      <c r="K75" s="71">
        <v>445146.42787818902</v>
      </c>
      <c r="L75" s="71">
        <v>76378.372989702504</v>
      </c>
      <c r="M75" s="71" t="s">
        <v>251</v>
      </c>
      <c r="N75" s="71" t="s">
        <v>252</v>
      </c>
    </row>
    <row r="76" spans="1:14" s="69" customFormat="1" ht="12.75">
      <c r="A76" s="67" t="s">
        <v>3</v>
      </c>
      <c r="B76" s="68">
        <v>1531.37</v>
      </c>
      <c r="C76" s="68">
        <v>13.21</v>
      </c>
      <c r="D76" s="68">
        <v>102.86</v>
      </c>
      <c r="E76" s="68">
        <v>1506.93629884711</v>
      </c>
      <c r="F76" s="68">
        <v>1498.51629884711</v>
      </c>
      <c r="G76" s="68">
        <v>245.44198646041801</v>
      </c>
      <c r="H76" s="68">
        <v>-84.922299022681003</v>
      </c>
      <c r="I76" s="68">
        <v>230.58967299004499</v>
      </c>
      <c r="J76" s="68">
        <v>0.32795869498000002</v>
      </c>
      <c r="K76" s="68">
        <v>445145.08211746701</v>
      </c>
      <c r="L76" s="68">
        <v>76384.577680887698</v>
      </c>
      <c r="M76" s="68" t="s">
        <v>253</v>
      </c>
      <c r="N76" s="68" t="s">
        <v>254</v>
      </c>
    </row>
    <row r="77" spans="1:14" s="72" customFormat="1" ht="12.75">
      <c r="A77" s="70" t="s">
        <v>3</v>
      </c>
      <c r="B77" s="71">
        <v>1559.39</v>
      </c>
      <c r="C77" s="71">
        <v>13.28</v>
      </c>
      <c r="D77" s="71">
        <v>104.61</v>
      </c>
      <c r="E77" s="71">
        <v>1534.21105560858</v>
      </c>
      <c r="F77" s="71">
        <v>1525.7910556085801</v>
      </c>
      <c r="G77" s="71">
        <v>251.84766441780701</v>
      </c>
      <c r="H77" s="71">
        <v>-86.446641384635996</v>
      </c>
      <c r="I77" s="71">
        <v>236.82514591170499</v>
      </c>
      <c r="J77" s="71">
        <v>0.43576094408799998</v>
      </c>
      <c r="K77" s="71">
        <v>445143.55785437999</v>
      </c>
      <c r="L77" s="71">
        <v>76390.812829525894</v>
      </c>
      <c r="M77" s="71" t="s">
        <v>255</v>
      </c>
      <c r="N77" s="71" t="s">
        <v>256</v>
      </c>
    </row>
    <row r="78" spans="1:14" s="69" customFormat="1" ht="12.75">
      <c r="A78" s="67" t="s">
        <v>3</v>
      </c>
      <c r="B78" s="68">
        <v>1587.32</v>
      </c>
      <c r="C78" s="68">
        <v>13.31</v>
      </c>
      <c r="D78" s="68">
        <v>105.25</v>
      </c>
      <c r="E78" s="68">
        <v>1561.3925167694799</v>
      </c>
      <c r="F78" s="68">
        <v>1552.9725167694801</v>
      </c>
      <c r="G78" s="68">
        <v>258.26431468014601</v>
      </c>
      <c r="H78" s="68">
        <v>-88.101447223807</v>
      </c>
      <c r="I78" s="68">
        <v>243.03113012329101</v>
      </c>
      <c r="J78" s="68">
        <v>0.16133522586999999</v>
      </c>
      <c r="K78" s="68">
        <v>445141.90313460102</v>
      </c>
      <c r="L78" s="68">
        <v>76397.018490987495</v>
      </c>
      <c r="M78" s="68" t="s">
        <v>257</v>
      </c>
      <c r="N78" s="68" t="s">
        <v>258</v>
      </c>
    </row>
    <row r="79" spans="1:14" s="72" customFormat="1" ht="12.75">
      <c r="A79" s="70" t="s">
        <v>3</v>
      </c>
      <c r="B79" s="71">
        <v>1615.16</v>
      </c>
      <c r="C79" s="71">
        <v>12.95</v>
      </c>
      <c r="D79" s="71">
        <v>107.24</v>
      </c>
      <c r="E79" s="71">
        <v>1588.50479609332</v>
      </c>
      <c r="F79" s="71">
        <v>1580.0847960933199</v>
      </c>
      <c r="G79" s="71">
        <v>264.58614188437002</v>
      </c>
      <c r="H79" s="71">
        <v>-89.868922860661996</v>
      </c>
      <c r="I79" s="71">
        <v>249.102321971918</v>
      </c>
      <c r="J79" s="71">
        <v>0.622666556993</v>
      </c>
      <c r="K79" s="71">
        <v>445140.13575088402</v>
      </c>
      <c r="L79" s="71">
        <v>76403.089367096298</v>
      </c>
      <c r="M79" s="71" t="s">
        <v>259</v>
      </c>
      <c r="N79" s="71" t="s">
        <v>260</v>
      </c>
    </row>
    <row r="80" spans="1:14" s="69" customFormat="1" ht="12.75">
      <c r="A80" s="67" t="s">
        <v>3</v>
      </c>
      <c r="B80" s="68">
        <v>1643.29</v>
      </c>
      <c r="C80" s="68">
        <v>12.58</v>
      </c>
      <c r="D80" s="68">
        <v>108.43</v>
      </c>
      <c r="E80" s="68">
        <v>1615.9395497862899</v>
      </c>
      <c r="F80" s="68">
        <v>1607.5195497862901</v>
      </c>
      <c r="G80" s="68">
        <v>270.80106842064299</v>
      </c>
      <c r="H80" s="68">
        <v>-91.771578270296999</v>
      </c>
      <c r="I80" s="68">
        <v>255.01898944214199</v>
      </c>
      <c r="J80" s="68">
        <v>0.48406492655299999</v>
      </c>
      <c r="K80" s="68">
        <v>445138.233194425</v>
      </c>
      <c r="L80" s="68">
        <v>76409.005726862903</v>
      </c>
      <c r="M80" s="68" t="s">
        <v>261</v>
      </c>
      <c r="N80" s="68" t="s">
        <v>262</v>
      </c>
    </row>
    <row r="81" spans="1:14" s="72" customFormat="1" ht="12.75">
      <c r="A81" s="70" t="s">
        <v>3</v>
      </c>
      <c r="B81" s="71">
        <v>1671.2</v>
      </c>
      <c r="C81" s="71">
        <v>12.65</v>
      </c>
      <c r="D81" s="71">
        <v>107.9</v>
      </c>
      <c r="E81" s="71">
        <v>1643.1757993144199</v>
      </c>
      <c r="F81" s="71">
        <v>1634.7557993144201</v>
      </c>
      <c r="G81" s="71">
        <v>276.896029107017</v>
      </c>
      <c r="H81" s="71">
        <v>-93.671787901605001</v>
      </c>
      <c r="I81" s="71">
        <v>260.81067772551199</v>
      </c>
      <c r="J81" s="71">
        <v>0.145400309324</v>
      </c>
      <c r="K81" s="71">
        <v>445136.33308361599</v>
      </c>
      <c r="L81" s="71">
        <v>76414.797113942303</v>
      </c>
      <c r="M81" s="71" t="s">
        <v>263</v>
      </c>
      <c r="N81" s="71" t="s">
        <v>264</v>
      </c>
    </row>
    <row r="82" spans="1:14" s="69" customFormat="1" ht="12.75">
      <c r="A82" s="67" t="s">
        <v>3</v>
      </c>
      <c r="B82" s="68">
        <v>1698.86</v>
      </c>
      <c r="C82" s="68">
        <v>12.73</v>
      </c>
      <c r="D82" s="68">
        <v>106.04</v>
      </c>
      <c r="E82" s="68">
        <v>1670.16025787277</v>
      </c>
      <c r="F82" s="68">
        <v>1661.7402578727699</v>
      </c>
      <c r="G82" s="68">
        <v>282.971281721259</v>
      </c>
      <c r="H82" s="68">
        <v>-95.444746071514004</v>
      </c>
      <c r="I82" s="68">
        <v>266.62168875945599</v>
      </c>
      <c r="J82" s="68">
        <v>0.45155808014299997</v>
      </c>
      <c r="K82" s="68">
        <v>445134.56021765101</v>
      </c>
      <c r="L82" s="68">
        <v>76420.607822767401</v>
      </c>
      <c r="M82" s="68" t="s">
        <v>265</v>
      </c>
      <c r="N82" s="68" t="s">
        <v>266</v>
      </c>
    </row>
    <row r="83" spans="1:14" s="72" customFormat="1" ht="12.75">
      <c r="A83" s="70" t="s">
        <v>3</v>
      </c>
      <c r="B83" s="71">
        <v>1726.79</v>
      </c>
      <c r="C83" s="71">
        <v>12.69</v>
      </c>
      <c r="D83" s="71">
        <v>104.12</v>
      </c>
      <c r="E83" s="71">
        <v>1697.4059884402</v>
      </c>
      <c r="F83" s="71">
        <v>1688.9859884401999</v>
      </c>
      <c r="G83" s="71">
        <v>289.11029304662998</v>
      </c>
      <c r="H83" s="71">
        <v>-97.043427456423998</v>
      </c>
      <c r="I83" s="71">
        <v>272.55428672620098</v>
      </c>
      <c r="J83" s="71">
        <v>0.45574859882500002</v>
      </c>
      <c r="K83" s="71">
        <v>445132.96161940799</v>
      </c>
      <c r="L83" s="71">
        <v>76426.540112201998</v>
      </c>
      <c r="M83" s="71" t="s">
        <v>267</v>
      </c>
      <c r="N83" s="71" t="s">
        <v>268</v>
      </c>
    </row>
    <row r="84" spans="1:14" s="69" customFormat="1" ht="12.75">
      <c r="A84" s="67" t="s">
        <v>3</v>
      </c>
      <c r="B84" s="68">
        <v>1754.74</v>
      </c>
      <c r="C84" s="68">
        <v>12.86</v>
      </c>
      <c r="D84" s="68">
        <v>103.51</v>
      </c>
      <c r="E84" s="68">
        <v>1724.6641147804701</v>
      </c>
      <c r="F84" s="68">
        <v>1716.24411478047</v>
      </c>
      <c r="G84" s="68">
        <v>295.27820097930299</v>
      </c>
      <c r="H84" s="68">
        <v>-98.518998116337997</v>
      </c>
      <c r="I84" s="68">
        <v>278.55585366829598</v>
      </c>
      <c r="J84" s="68">
        <v>0.232925847169</v>
      </c>
      <c r="K84" s="68">
        <v>445131.48612548702</v>
      </c>
      <c r="L84" s="68">
        <v>76432.541367025202</v>
      </c>
      <c r="M84" s="68" t="s">
        <v>269</v>
      </c>
      <c r="N84" s="68" t="s">
        <v>270</v>
      </c>
    </row>
    <row r="85" spans="1:14" s="72" customFormat="1" ht="12.75">
      <c r="A85" s="70" t="s">
        <v>3</v>
      </c>
      <c r="B85" s="71">
        <v>1782.1</v>
      </c>
      <c r="C85" s="71">
        <v>12.95</v>
      </c>
      <c r="D85" s="71">
        <v>103.08</v>
      </c>
      <c r="E85" s="71">
        <v>1751.3330514193401</v>
      </c>
      <c r="F85" s="71">
        <v>1742.91305141934</v>
      </c>
      <c r="G85" s="71">
        <v>301.37260529284703</v>
      </c>
      <c r="H85" s="71">
        <v>-99.924100507432001</v>
      </c>
      <c r="I85" s="71">
        <v>284.50251463541298</v>
      </c>
      <c r="J85" s="71">
        <v>0.14431425117400001</v>
      </c>
      <c r="K85" s="71">
        <v>445130.08109617</v>
      </c>
      <c r="L85" s="71">
        <v>76438.487718728793</v>
      </c>
      <c r="M85" s="71" t="s">
        <v>271</v>
      </c>
      <c r="N85" s="71" t="s">
        <v>272</v>
      </c>
    </row>
    <row r="86" spans="1:14" s="69" customFormat="1" ht="12.75">
      <c r="A86" s="67" t="s">
        <v>3</v>
      </c>
      <c r="B86" s="68">
        <v>1810.59</v>
      </c>
      <c r="C86" s="68">
        <v>13.14</v>
      </c>
      <c r="D86" s="68">
        <v>102.82</v>
      </c>
      <c r="E86" s="68">
        <v>1779.0878022096799</v>
      </c>
      <c r="F86" s="68">
        <v>1770.6678022096801</v>
      </c>
      <c r="G86" s="68">
        <v>307.78348111272902</v>
      </c>
      <c r="H86" s="68">
        <v>-101.36510883960401</v>
      </c>
      <c r="I86" s="68">
        <v>290.76961833469699</v>
      </c>
      <c r="J86" s="68">
        <v>0.20939605193300001</v>
      </c>
      <c r="K86" s="68">
        <v>445128.64016277902</v>
      </c>
      <c r="L86" s="68">
        <v>76444.754496499605</v>
      </c>
      <c r="M86" s="68" t="s">
        <v>273</v>
      </c>
      <c r="N86" s="68" t="s">
        <v>274</v>
      </c>
    </row>
    <row r="87" spans="1:14" s="72" customFormat="1" ht="12.75">
      <c r="A87" s="70" t="s">
        <v>3</v>
      </c>
      <c r="B87" s="71">
        <v>1838.33</v>
      </c>
      <c r="C87" s="71">
        <v>13.43</v>
      </c>
      <c r="D87" s="71">
        <v>102.2</v>
      </c>
      <c r="E87" s="71">
        <v>1806.0854390003799</v>
      </c>
      <c r="F87" s="71">
        <v>1797.66543900038</v>
      </c>
      <c r="G87" s="71">
        <v>314.13426278159301</v>
      </c>
      <c r="H87" s="71">
        <v>-102.74551005436901</v>
      </c>
      <c r="I87" s="71">
        <v>296.992773559981</v>
      </c>
      <c r="J87" s="71">
        <v>0.34942714152999999</v>
      </c>
      <c r="K87" s="71">
        <v>445127.25983335398</v>
      </c>
      <c r="L87" s="71">
        <v>76450.977328081906</v>
      </c>
      <c r="M87" s="71" t="s">
        <v>275</v>
      </c>
      <c r="N87" s="71" t="s">
        <v>276</v>
      </c>
    </row>
    <row r="88" spans="1:14" s="69" customFormat="1" ht="12.75">
      <c r="A88" s="67" t="s">
        <v>3</v>
      </c>
      <c r="B88" s="68">
        <v>1866.03</v>
      </c>
      <c r="C88" s="68">
        <v>13.67</v>
      </c>
      <c r="D88" s="68">
        <v>101.56</v>
      </c>
      <c r="E88" s="68">
        <v>1833.01442819115</v>
      </c>
      <c r="F88" s="68">
        <v>1824.59442819115</v>
      </c>
      <c r="G88" s="68">
        <v>320.59351422104999</v>
      </c>
      <c r="H88" s="68">
        <v>-104.08121653306399</v>
      </c>
      <c r="I88" s="68">
        <v>303.34366873796199</v>
      </c>
      <c r="J88" s="68">
        <v>0.306485691452</v>
      </c>
      <c r="K88" s="68">
        <v>445125.92419634003</v>
      </c>
      <c r="L88" s="68">
        <v>76457.327892973699</v>
      </c>
      <c r="M88" s="68" t="s">
        <v>277</v>
      </c>
      <c r="N88" s="68" t="s">
        <v>278</v>
      </c>
    </row>
    <row r="89" spans="1:14" s="72" customFormat="1" ht="12.75">
      <c r="A89" s="70" t="s">
        <v>3</v>
      </c>
      <c r="B89" s="71">
        <v>1893.92</v>
      </c>
      <c r="C89" s="71">
        <v>14.38</v>
      </c>
      <c r="D89" s="71">
        <v>102.2</v>
      </c>
      <c r="E89" s="71">
        <v>1860.07287278533</v>
      </c>
      <c r="F89" s="71">
        <v>1851.6528727853299</v>
      </c>
      <c r="G89" s="71">
        <v>327.32064788659602</v>
      </c>
      <c r="H89" s="71">
        <v>-105.47353027002499</v>
      </c>
      <c r="I89" s="71">
        <v>309.95757153382903</v>
      </c>
      <c r="J89" s="71">
        <v>0.78171359818999997</v>
      </c>
      <c r="K89" s="71">
        <v>445124.531955012</v>
      </c>
      <c r="L89" s="71">
        <v>76463.941451805396</v>
      </c>
      <c r="M89" s="71" t="s">
        <v>279</v>
      </c>
      <c r="N89" s="71" t="s">
        <v>280</v>
      </c>
    </row>
    <row r="90" spans="1:14" s="69" customFormat="1" ht="12.75">
      <c r="A90" s="67" t="s">
        <v>3</v>
      </c>
      <c r="B90" s="68">
        <v>1922.13</v>
      </c>
      <c r="C90" s="68">
        <v>15.12</v>
      </c>
      <c r="D90" s="68">
        <v>102.12</v>
      </c>
      <c r="E90" s="68">
        <v>1887.3530494014001</v>
      </c>
      <c r="F90" s="68">
        <v>1878.9330494014</v>
      </c>
      <c r="G90" s="68">
        <v>334.47240762968801</v>
      </c>
      <c r="H90" s="68">
        <v>-106.98630035228101</v>
      </c>
      <c r="I90" s="68">
        <v>316.97871958235999</v>
      </c>
      <c r="J90" s="68">
        <v>0.78725283915400002</v>
      </c>
      <c r="K90" s="68">
        <v>445123.01926360303</v>
      </c>
      <c r="L90" s="68">
        <v>76470.962234710401</v>
      </c>
      <c r="M90" s="68" t="s">
        <v>281</v>
      </c>
      <c r="N90" s="68" t="s">
        <v>282</v>
      </c>
    </row>
    <row r="91" spans="1:14" s="72" customFormat="1" ht="12.75">
      <c r="A91" s="70" t="s">
        <v>3</v>
      </c>
      <c r="B91" s="71">
        <v>1950.02</v>
      </c>
      <c r="C91" s="71">
        <v>16.079999999999998</v>
      </c>
      <c r="D91" s="71">
        <v>102.76</v>
      </c>
      <c r="E91" s="71">
        <v>1914.2153593507801</v>
      </c>
      <c r="F91" s="71">
        <v>1905.79535935078</v>
      </c>
      <c r="G91" s="71">
        <v>341.94392945432003</v>
      </c>
      <c r="H91" s="71">
        <v>-108.60315069343901</v>
      </c>
      <c r="I91" s="71">
        <v>324.30234009683602</v>
      </c>
      <c r="J91" s="71">
        <v>1.0490766842429999</v>
      </c>
      <c r="K91" s="71">
        <v>445121.40249734803</v>
      </c>
      <c r="L91" s="71">
        <v>76478.285474350894</v>
      </c>
      <c r="M91" s="71" t="s">
        <v>283</v>
      </c>
      <c r="N91" s="71" t="s">
        <v>284</v>
      </c>
    </row>
    <row r="92" spans="1:14" s="69" customFormat="1" ht="12.75">
      <c r="A92" s="67" t="s">
        <v>3</v>
      </c>
      <c r="B92" s="68">
        <v>1978.32</v>
      </c>
      <c r="C92" s="68">
        <v>17.55</v>
      </c>
      <c r="D92" s="68">
        <v>103.47</v>
      </c>
      <c r="E92" s="68">
        <v>1941.3046447541999</v>
      </c>
      <c r="F92" s="68">
        <v>1932.8846447542001</v>
      </c>
      <c r="G92" s="68">
        <v>350.10707772258502</v>
      </c>
      <c r="H92" s="68">
        <v>-110.462775074734</v>
      </c>
      <c r="I92" s="68">
        <v>332.27464380701201</v>
      </c>
      <c r="J92" s="68">
        <v>1.573412884655</v>
      </c>
      <c r="K92" s="68">
        <v>445119.54296967899</v>
      </c>
      <c r="L92" s="68">
        <v>76486.257363451499</v>
      </c>
      <c r="M92" s="68" t="s">
        <v>285</v>
      </c>
      <c r="N92" s="68" t="s">
        <v>286</v>
      </c>
    </row>
    <row r="93" spans="1:14" s="72" customFormat="1" ht="12.75">
      <c r="A93" s="70" t="s">
        <v>3</v>
      </c>
      <c r="B93" s="71">
        <v>2006.2</v>
      </c>
      <c r="C93" s="71">
        <v>18.68</v>
      </c>
      <c r="D93" s="71">
        <v>102.74</v>
      </c>
      <c r="E93" s="71">
        <v>1967.80235999776</v>
      </c>
      <c r="F93" s="71">
        <v>1959.38235999776</v>
      </c>
      <c r="G93" s="71">
        <v>358.75042152881298</v>
      </c>
      <c r="H93" s="71">
        <v>-112.426570116726</v>
      </c>
      <c r="I93" s="71">
        <v>340.71755714391702</v>
      </c>
      <c r="J93" s="71">
        <v>1.2401888111799999</v>
      </c>
      <c r="K93" s="71">
        <v>445117.57927676698</v>
      </c>
      <c r="L93" s="71">
        <v>76494.699837704204</v>
      </c>
      <c r="M93" s="71" t="s">
        <v>287</v>
      </c>
      <c r="N93" s="71" t="s">
        <v>288</v>
      </c>
    </row>
    <row r="94" spans="1:14" s="69" customFormat="1" ht="12.75">
      <c r="A94" s="67" t="s">
        <v>3</v>
      </c>
      <c r="B94" s="68">
        <v>2034.38</v>
      </c>
      <c r="C94" s="68">
        <v>20.29</v>
      </c>
      <c r="D94" s="68">
        <v>103.21</v>
      </c>
      <c r="E94" s="68">
        <v>1994.36760150239</v>
      </c>
      <c r="F94" s="68">
        <v>1985.9476015023899</v>
      </c>
      <c r="G94" s="68">
        <v>368.12132910588798</v>
      </c>
      <c r="H94" s="68">
        <v>-114.538457133607</v>
      </c>
      <c r="I94" s="68">
        <v>349.87657080695197</v>
      </c>
      <c r="J94" s="68">
        <v>1.7220748892740001</v>
      </c>
      <c r="K94" s="68">
        <v>445115.46749958099</v>
      </c>
      <c r="L94" s="68">
        <v>76503.858375041294</v>
      </c>
      <c r="M94" s="68" t="s">
        <v>289</v>
      </c>
      <c r="N94" s="68" t="s">
        <v>290</v>
      </c>
    </row>
    <row r="95" spans="1:14" s="72" customFormat="1" ht="12.75">
      <c r="A95" s="70" t="s">
        <v>3</v>
      </c>
      <c r="B95" s="71">
        <v>2062.02</v>
      </c>
      <c r="C95" s="71">
        <v>21.66</v>
      </c>
      <c r="D95" s="71">
        <v>103.09</v>
      </c>
      <c r="E95" s="71">
        <v>2020.1754704257201</v>
      </c>
      <c r="F95" s="71">
        <v>2011.75547042572</v>
      </c>
      <c r="G95" s="71">
        <v>377.98734804297402</v>
      </c>
      <c r="H95" s="71">
        <v>-116.788991185079</v>
      </c>
      <c r="I95" s="71">
        <v>359.51099678687899</v>
      </c>
      <c r="J95" s="71">
        <v>1.487705385555</v>
      </c>
      <c r="K95" s="71">
        <v>445113.21708257101</v>
      </c>
      <c r="L95" s="71">
        <v>76513.492299970996</v>
      </c>
      <c r="M95" s="71" t="s">
        <v>291</v>
      </c>
      <c r="N95" s="71" t="s">
        <v>292</v>
      </c>
    </row>
    <row r="96" spans="1:14" s="69" customFormat="1" ht="12.75">
      <c r="A96" s="67" t="s">
        <v>3</v>
      </c>
      <c r="B96" s="68">
        <v>2089.7600000000002</v>
      </c>
      <c r="C96" s="68">
        <v>23.2</v>
      </c>
      <c r="D96" s="68">
        <v>102</v>
      </c>
      <c r="E96" s="68">
        <v>2045.81617960823</v>
      </c>
      <c r="F96" s="68">
        <v>2037.3961796082301</v>
      </c>
      <c r="G96" s="68">
        <v>388.53200423019399</v>
      </c>
      <c r="H96" s="68">
        <v>-119.084609623784</v>
      </c>
      <c r="I96" s="68">
        <v>369.84260211772499</v>
      </c>
      <c r="J96" s="68">
        <v>1.725062837084</v>
      </c>
      <c r="K96" s="68">
        <v>445110.92158351903</v>
      </c>
      <c r="L96" s="68">
        <v>76523.8233679939</v>
      </c>
      <c r="M96" s="68" t="s">
        <v>293</v>
      </c>
      <c r="N96" s="68" t="s">
        <v>294</v>
      </c>
    </row>
    <row r="97" spans="1:14" s="72" customFormat="1" ht="12.75">
      <c r="A97" s="70" t="s">
        <v>3</v>
      </c>
      <c r="B97" s="71">
        <v>2117.6</v>
      </c>
      <c r="C97" s="71">
        <v>25.1</v>
      </c>
      <c r="D97" s="71">
        <v>101.08</v>
      </c>
      <c r="E97" s="71">
        <v>2071.21848032359</v>
      </c>
      <c r="F97" s="71">
        <v>2062.79848032359</v>
      </c>
      <c r="G97" s="71">
        <v>399.860529638157</v>
      </c>
      <c r="H97" s="71">
        <v>-121.359737466295</v>
      </c>
      <c r="I97" s="71">
        <v>381.00229319202498</v>
      </c>
      <c r="J97" s="71">
        <v>2.087144353007</v>
      </c>
      <c r="K97" s="71">
        <v>445108.64657399798</v>
      </c>
      <c r="L97" s="71">
        <v>76534.982478694597</v>
      </c>
      <c r="M97" s="71" t="s">
        <v>295</v>
      </c>
      <c r="N97" s="71" t="s">
        <v>296</v>
      </c>
    </row>
    <row r="98" spans="1:14" s="69" customFormat="1" ht="12.75">
      <c r="A98" s="67" t="s">
        <v>3</v>
      </c>
      <c r="B98" s="68">
        <v>2145.69</v>
      </c>
      <c r="C98" s="68">
        <v>26.97</v>
      </c>
      <c r="D98" s="68">
        <v>100.94</v>
      </c>
      <c r="E98" s="68">
        <v>2096.4569604703202</v>
      </c>
      <c r="F98" s="68">
        <v>2088.0369604703201</v>
      </c>
      <c r="G98" s="68">
        <v>412.11158086644798</v>
      </c>
      <c r="H98" s="68">
        <v>-123.713784573589</v>
      </c>
      <c r="I98" s="68">
        <v>393.10417597061797</v>
      </c>
      <c r="J98" s="68">
        <v>1.9982286851440001</v>
      </c>
      <c r="K98" s="68">
        <v>445106.29264931497</v>
      </c>
      <c r="L98" s="68">
        <v>76547.083732099694</v>
      </c>
      <c r="M98" s="68" t="s">
        <v>297</v>
      </c>
      <c r="N98" s="68" t="s">
        <v>298</v>
      </c>
    </row>
    <row r="99" spans="1:14" s="72" customFormat="1" ht="12.75">
      <c r="A99" s="70" t="s">
        <v>3</v>
      </c>
      <c r="B99" s="71">
        <v>2173.2199999999998</v>
      </c>
      <c r="C99" s="71">
        <v>28.89</v>
      </c>
      <c r="D99" s="71">
        <v>99.89</v>
      </c>
      <c r="E99" s="71">
        <v>2120.7792910160802</v>
      </c>
      <c r="F99" s="71">
        <v>2112.3592910160801</v>
      </c>
      <c r="G99" s="71">
        <v>424.90805349829498</v>
      </c>
      <c r="H99" s="71">
        <v>-126.04100579948</v>
      </c>
      <c r="I99" s="71">
        <v>405.786195117067</v>
      </c>
      <c r="J99" s="71">
        <v>2.1597392159340001</v>
      </c>
      <c r="K99" s="71">
        <v>445103.96554911998</v>
      </c>
      <c r="L99" s="71">
        <v>76559.765091701993</v>
      </c>
      <c r="M99" s="71" t="s">
        <v>299</v>
      </c>
      <c r="N99" s="71" t="s">
        <v>300</v>
      </c>
    </row>
    <row r="100" spans="1:14" s="69" customFormat="1" ht="12.75">
      <c r="A100" s="67" t="s">
        <v>3</v>
      </c>
      <c r="B100" s="68">
        <v>2180.65</v>
      </c>
      <c r="C100" s="68">
        <v>28.94</v>
      </c>
      <c r="D100" s="68">
        <v>100.02</v>
      </c>
      <c r="E100" s="68">
        <v>2127.28305260858</v>
      </c>
      <c r="F100" s="68">
        <v>2118.8630526085699</v>
      </c>
      <c r="G100" s="68">
        <v>428.46991482509299</v>
      </c>
      <c r="H100" s="68">
        <v>-126.662059250952</v>
      </c>
      <c r="I100" s="68">
        <v>409.32459429159297</v>
      </c>
      <c r="J100" s="68">
        <v>0.32429765383699999</v>
      </c>
      <c r="K100" s="68">
        <v>445103.34452796698</v>
      </c>
      <c r="L100" s="68">
        <v>76563.303306857706</v>
      </c>
      <c r="M100" s="68" t="s">
        <v>301</v>
      </c>
      <c r="N100" s="68" t="s">
        <v>302</v>
      </c>
    </row>
    <row r="101" spans="1:14" s="72" customFormat="1" ht="12.75">
      <c r="A101" s="70" t="s">
        <v>3</v>
      </c>
      <c r="B101" s="71">
        <v>2208.98</v>
      </c>
      <c r="C101" s="71">
        <v>27.98</v>
      </c>
      <c r="D101" s="71">
        <v>101.72</v>
      </c>
      <c r="E101" s="71">
        <v>2152.1894961144299</v>
      </c>
      <c r="F101" s="71">
        <v>2143.7694961144298</v>
      </c>
      <c r="G101" s="71">
        <v>441.87995984589202</v>
      </c>
      <c r="H101" s="71">
        <v>-129.20469754138401</v>
      </c>
      <c r="I101" s="71">
        <v>422.58207594034297</v>
      </c>
      <c r="J101" s="71">
        <v>1.33010624423</v>
      </c>
      <c r="K101" s="71">
        <v>445100.80202190898</v>
      </c>
      <c r="L101" s="71">
        <v>76576.560099034599</v>
      </c>
      <c r="M101" s="71" t="s">
        <v>303</v>
      </c>
      <c r="N101" s="71" t="s">
        <v>304</v>
      </c>
    </row>
    <row r="102" spans="1:14" s="69" customFormat="1" ht="12.75">
      <c r="A102" s="67" t="s">
        <v>3</v>
      </c>
      <c r="B102" s="68">
        <v>2237.13</v>
      </c>
      <c r="C102" s="68">
        <v>27.66</v>
      </c>
      <c r="D102" s="68">
        <v>104.7</v>
      </c>
      <c r="E102" s="68">
        <v>2177.0870560917101</v>
      </c>
      <c r="F102" s="68">
        <v>2168.66705609171</v>
      </c>
      <c r="G102" s="68">
        <v>454.97767721845702</v>
      </c>
      <c r="H102" s="68">
        <v>-132.204252014395</v>
      </c>
      <c r="I102" s="68">
        <v>435.36862050981199</v>
      </c>
      <c r="J102" s="68">
        <v>1.520730223373</v>
      </c>
      <c r="K102" s="68">
        <v>445097.80262343201</v>
      </c>
      <c r="L102" s="68">
        <v>76589.345978623998</v>
      </c>
      <c r="M102" s="68" t="s">
        <v>305</v>
      </c>
      <c r="N102" s="68" t="s">
        <v>306</v>
      </c>
    </row>
    <row r="103" spans="1:14" s="72" customFormat="1" ht="12.75">
      <c r="A103" s="70" t="s">
        <v>3</v>
      </c>
      <c r="B103" s="71">
        <v>2265.1</v>
      </c>
      <c r="C103" s="71">
        <v>27.95</v>
      </c>
      <c r="D103" s="71">
        <v>105.63</v>
      </c>
      <c r="E103" s="71">
        <v>2201.8277392760501</v>
      </c>
      <c r="F103" s="71">
        <v>2193.4077392760501</v>
      </c>
      <c r="G103" s="71">
        <v>468.01400825057402</v>
      </c>
      <c r="H103" s="71">
        <v>-135.61773142649599</v>
      </c>
      <c r="I103" s="71">
        <v>447.96077070676802</v>
      </c>
      <c r="J103" s="71">
        <v>0.559680419983</v>
      </c>
      <c r="K103" s="71">
        <v>445094.389321542</v>
      </c>
      <c r="L103" s="71">
        <v>76601.9374739505</v>
      </c>
      <c r="M103" s="71" t="s">
        <v>307</v>
      </c>
      <c r="N103" s="71" t="s">
        <v>308</v>
      </c>
    </row>
    <row r="104" spans="1:14" s="69" customFormat="1" ht="12.75">
      <c r="A104" s="67" t="s">
        <v>3</v>
      </c>
      <c r="B104" s="68">
        <v>2293.4</v>
      </c>
      <c r="C104" s="68">
        <v>29.2</v>
      </c>
      <c r="D104" s="68">
        <v>107.16</v>
      </c>
      <c r="E104" s="68">
        <v>2226.6804109476898</v>
      </c>
      <c r="F104" s="68">
        <v>2218.2604109476902</v>
      </c>
      <c r="G104" s="68">
        <v>481.54666040439298</v>
      </c>
      <c r="H104" s="68">
        <v>-139.44151892486499</v>
      </c>
      <c r="I104" s="68">
        <v>460.94424912865202</v>
      </c>
      <c r="J104" s="68">
        <v>1.5353793301900001</v>
      </c>
      <c r="K104" s="68">
        <v>445090.565732905</v>
      </c>
      <c r="L104" s="68">
        <v>76614.920277150493</v>
      </c>
      <c r="M104" s="68" t="s">
        <v>309</v>
      </c>
      <c r="N104" s="68" t="s">
        <v>310</v>
      </c>
    </row>
    <row r="105" spans="1:14" s="72" customFormat="1" ht="12.75">
      <c r="A105" s="70" t="s">
        <v>3</v>
      </c>
      <c r="B105" s="71">
        <v>2321.69</v>
      </c>
      <c r="C105" s="71">
        <v>30.9</v>
      </c>
      <c r="D105" s="71">
        <v>107.82</v>
      </c>
      <c r="E105" s="71">
        <v>2251.16708608826</v>
      </c>
      <c r="F105" s="71">
        <v>2242.7470860882499</v>
      </c>
      <c r="G105" s="71">
        <v>495.71231311334998</v>
      </c>
      <c r="H105" s="71">
        <v>-143.70085253740601</v>
      </c>
      <c r="I105" s="71">
        <v>474.45439304809099</v>
      </c>
      <c r="J105" s="71">
        <v>1.836484641745</v>
      </c>
      <c r="K105" s="71">
        <v>445086.30662080401</v>
      </c>
      <c r="L105" s="71">
        <v>76628.429718458094</v>
      </c>
      <c r="M105" s="71" t="s">
        <v>311</v>
      </c>
      <c r="N105" s="71" t="s">
        <v>312</v>
      </c>
    </row>
    <row r="106" spans="1:14" s="69" customFormat="1" ht="12.75">
      <c r="A106" s="67" t="s">
        <v>3</v>
      </c>
      <c r="B106" s="68">
        <v>2349.6</v>
      </c>
      <c r="C106" s="68">
        <v>32.450000000000003</v>
      </c>
      <c r="D106" s="68">
        <v>108.47</v>
      </c>
      <c r="E106" s="68">
        <v>2274.91896702022</v>
      </c>
      <c r="F106" s="68">
        <v>2266.4989670202199</v>
      </c>
      <c r="G106" s="68">
        <v>510.36609949379101</v>
      </c>
      <c r="H106" s="68">
        <v>-148.26645904531301</v>
      </c>
      <c r="I106" s="68">
        <v>488.37996957032101</v>
      </c>
      <c r="J106" s="68">
        <v>1.705963158104</v>
      </c>
      <c r="K106" s="68">
        <v>445081.74125173601</v>
      </c>
      <c r="L106" s="68">
        <v>76642.354570763404</v>
      </c>
      <c r="M106" s="68" t="s">
        <v>313</v>
      </c>
      <c r="N106" s="68" t="s">
        <v>314</v>
      </c>
    </row>
    <row r="107" spans="1:14" s="72" customFormat="1" ht="12.75">
      <c r="A107" s="70" t="s">
        <v>3</v>
      </c>
      <c r="B107" s="71">
        <v>2373.38</v>
      </c>
      <c r="C107" s="71">
        <v>33.86</v>
      </c>
      <c r="D107" s="71">
        <v>108.86</v>
      </c>
      <c r="E107" s="71">
        <v>2294.8269635890701</v>
      </c>
      <c r="F107" s="71">
        <v>2286.4069635890701</v>
      </c>
      <c r="G107" s="71">
        <v>523.36815200997103</v>
      </c>
      <c r="H107" s="71">
        <v>-152.42930570113199</v>
      </c>
      <c r="I107" s="71">
        <v>500.70074833488201</v>
      </c>
      <c r="J107" s="71">
        <v>1.7990347459539999</v>
      </c>
      <c r="K107" s="71">
        <v>445077.57862157398</v>
      </c>
      <c r="L107" s="71">
        <v>76654.674708770603</v>
      </c>
      <c r="M107" s="71" t="s">
        <v>315</v>
      </c>
      <c r="N107" s="71" t="s">
        <v>316</v>
      </c>
    </row>
    <row r="108" spans="1:14" s="69" customFormat="1" ht="12.75">
      <c r="A108" s="67" t="s">
        <v>3</v>
      </c>
      <c r="B108" s="68">
        <v>2393.1</v>
      </c>
      <c r="C108" s="68">
        <v>34.700000000000003</v>
      </c>
      <c r="D108" s="68">
        <v>109.11</v>
      </c>
      <c r="E108" s="68">
        <v>2311.12136231063</v>
      </c>
      <c r="F108" s="68">
        <v>2302.70136231063</v>
      </c>
      <c r="G108" s="68">
        <v>534.47104377896005</v>
      </c>
      <c r="H108" s="68">
        <v>-156.04286408561899</v>
      </c>
      <c r="I108" s="68">
        <v>511.203414903902</v>
      </c>
      <c r="J108" s="68">
        <v>1.2957179937800001</v>
      </c>
      <c r="K108" s="68">
        <v>445073.96525111701</v>
      </c>
      <c r="L108" s="68">
        <v>76665.176829135395</v>
      </c>
      <c r="M108" s="68" t="s">
        <v>317</v>
      </c>
      <c r="N108" s="68" t="s">
        <v>318</v>
      </c>
    </row>
    <row r="109" spans="1:14" s="72" customFormat="1" ht="12.75">
      <c r="A109" s="70" t="s">
        <v>3</v>
      </c>
      <c r="B109" s="71">
        <v>2421.41</v>
      </c>
      <c r="C109" s="71">
        <v>36.119999999999997</v>
      </c>
      <c r="D109" s="71">
        <v>107.81</v>
      </c>
      <c r="E109" s="71">
        <v>2334.1945093198601</v>
      </c>
      <c r="F109" s="71">
        <v>2325.77450931986</v>
      </c>
      <c r="G109" s="71">
        <v>550.87075066193302</v>
      </c>
      <c r="H109" s="71">
        <v>-161.23343333852901</v>
      </c>
      <c r="I109" s="71">
        <v>526.76270207061498</v>
      </c>
      <c r="J109" s="71">
        <v>1.7033009492819999</v>
      </c>
      <c r="K109" s="71">
        <v>445068.774951806</v>
      </c>
      <c r="L109" s="71">
        <v>76680.7353071221</v>
      </c>
      <c r="M109" s="71" t="s">
        <v>319</v>
      </c>
      <c r="N109" s="71" t="s">
        <v>320</v>
      </c>
    </row>
    <row r="110" spans="1:14" s="69" customFormat="1" ht="12.75">
      <c r="A110" s="67" t="s">
        <v>3</v>
      </c>
      <c r="B110" s="68">
        <v>2449.5</v>
      </c>
      <c r="C110" s="68">
        <v>37.5</v>
      </c>
      <c r="D110" s="68">
        <v>107.27</v>
      </c>
      <c r="E110" s="68">
        <v>2356.6836325423601</v>
      </c>
      <c r="F110" s="68">
        <v>2348.26363254236</v>
      </c>
      <c r="G110" s="68">
        <v>567.70067757164702</v>
      </c>
      <c r="H110" s="68">
        <v>-166.30428421565401</v>
      </c>
      <c r="I110" s="68">
        <v>542.81055762729704</v>
      </c>
      <c r="J110" s="68">
        <v>1.5137876991129999</v>
      </c>
      <c r="K110" s="68">
        <v>445063.704364645</v>
      </c>
      <c r="L110" s="68">
        <v>76696.782328090107</v>
      </c>
      <c r="M110" s="68" t="s">
        <v>321</v>
      </c>
      <c r="N110" s="68" t="s">
        <v>322</v>
      </c>
    </row>
    <row r="111" spans="1:14" s="72" customFormat="1" ht="12.75">
      <c r="A111" s="70" t="s">
        <v>3</v>
      </c>
      <c r="B111" s="71">
        <v>2477.29</v>
      </c>
      <c r="C111" s="71">
        <v>39.17</v>
      </c>
      <c r="D111" s="71">
        <v>106.42</v>
      </c>
      <c r="E111" s="71">
        <v>2378.4814246235401</v>
      </c>
      <c r="F111" s="71">
        <v>2370.06142462354</v>
      </c>
      <c r="G111" s="71">
        <v>584.93573303245103</v>
      </c>
      <c r="H111" s="71">
        <v>-171.29674321836501</v>
      </c>
      <c r="I111" s="71">
        <v>559.30769659483201</v>
      </c>
      <c r="J111" s="71">
        <v>1.8904770767800001</v>
      </c>
      <c r="K111" s="71">
        <v>445058.71216528199</v>
      </c>
      <c r="L111" s="71">
        <v>76713.278609103407</v>
      </c>
      <c r="M111" s="71" t="s">
        <v>323</v>
      </c>
      <c r="N111" s="71" t="s">
        <v>324</v>
      </c>
    </row>
    <row r="112" spans="1:14" s="69" customFormat="1" ht="12.75">
      <c r="A112" s="67" t="s">
        <v>3</v>
      </c>
      <c r="B112" s="68">
        <v>2504.9899999999998</v>
      </c>
      <c r="C112" s="68">
        <v>40.369999999999997</v>
      </c>
      <c r="D112" s="68">
        <v>107.06</v>
      </c>
      <c r="E112" s="68">
        <v>2399.7718607065899</v>
      </c>
      <c r="F112" s="68">
        <v>2391.3518607065898</v>
      </c>
      <c r="G112" s="68">
        <v>602.65378677951799</v>
      </c>
      <c r="H112" s="68">
        <v>-176.40163007842699</v>
      </c>
      <c r="I112" s="68">
        <v>576.27578871876597</v>
      </c>
      <c r="J112" s="68">
        <v>1.3731831534359999</v>
      </c>
      <c r="K112" s="68">
        <v>445053.60754390701</v>
      </c>
      <c r="L112" s="68">
        <v>76730.245818780604</v>
      </c>
      <c r="M112" s="68" t="s">
        <v>325</v>
      </c>
      <c r="N112" s="68" t="s">
        <v>326</v>
      </c>
    </row>
    <row r="113" spans="1:14" s="72" customFormat="1" ht="12.75">
      <c r="A113" s="70" t="s">
        <v>3</v>
      </c>
      <c r="B113" s="71">
        <v>2533.2600000000002</v>
      </c>
      <c r="C113" s="71">
        <v>41.87</v>
      </c>
      <c r="D113" s="71">
        <v>107.85</v>
      </c>
      <c r="E113" s="71">
        <v>2421.0681471715702</v>
      </c>
      <c r="F113" s="71">
        <v>2412.6481471715701</v>
      </c>
      <c r="G113" s="71">
        <v>621.24437379592302</v>
      </c>
      <c r="H113" s="71">
        <v>-181.979834162364</v>
      </c>
      <c r="I113" s="71">
        <v>594.00975619680401</v>
      </c>
      <c r="J113" s="71">
        <v>1.684541418242</v>
      </c>
      <c r="K113" s="71">
        <v>445048.02962992497</v>
      </c>
      <c r="L113" s="71">
        <v>76747.978863981698</v>
      </c>
      <c r="M113" s="71" t="s">
        <v>327</v>
      </c>
      <c r="N113" s="71" t="s">
        <v>328</v>
      </c>
    </row>
    <row r="114" spans="1:14" s="69" customFormat="1" ht="12.75">
      <c r="A114" s="67" t="s">
        <v>3</v>
      </c>
      <c r="B114" s="68">
        <v>2561.64</v>
      </c>
      <c r="C114" s="68">
        <v>43.89</v>
      </c>
      <c r="D114" s="68">
        <v>108.05</v>
      </c>
      <c r="E114" s="68">
        <v>2441.8633896751398</v>
      </c>
      <c r="F114" s="68">
        <v>2433.4433896751402</v>
      </c>
      <c r="G114" s="68">
        <v>640.55418880547904</v>
      </c>
      <c r="H114" s="68">
        <v>-187.931711021274</v>
      </c>
      <c r="I114" s="68">
        <v>612.38021210128704</v>
      </c>
      <c r="J114" s="68">
        <v>2.140144997503</v>
      </c>
      <c r="K114" s="68">
        <v>445042.07806260098</v>
      </c>
      <c r="L114" s="68">
        <v>76766.348364507794</v>
      </c>
      <c r="M114" s="68" t="s">
        <v>329</v>
      </c>
      <c r="N114" s="68" t="s">
        <v>330</v>
      </c>
    </row>
    <row r="115" spans="1:14" s="72" customFormat="1" ht="12.75">
      <c r="A115" s="70" t="s">
        <v>3</v>
      </c>
      <c r="B115" s="71">
        <v>2589.2399999999998</v>
      </c>
      <c r="C115" s="71">
        <v>45.26</v>
      </c>
      <c r="D115" s="71">
        <v>107.83</v>
      </c>
      <c r="E115" s="71">
        <v>2461.5233060861801</v>
      </c>
      <c r="F115" s="71">
        <v>2453.1033060861801</v>
      </c>
      <c r="G115" s="71">
        <v>659.92382327056396</v>
      </c>
      <c r="H115" s="71">
        <v>-193.89775772559599</v>
      </c>
      <c r="I115" s="71">
        <v>630.80891849613795</v>
      </c>
      <c r="J115" s="71">
        <v>1.498556464225</v>
      </c>
      <c r="K115" s="71">
        <v>445036.11232616799</v>
      </c>
      <c r="L115" s="71">
        <v>76784.776112494903</v>
      </c>
      <c r="M115" s="71" t="s">
        <v>331</v>
      </c>
      <c r="N115" s="71" t="s">
        <v>332</v>
      </c>
    </row>
    <row r="116" spans="1:14" s="69" customFormat="1" ht="12.75">
      <c r="A116" s="67" t="s">
        <v>3</v>
      </c>
      <c r="B116" s="68">
        <v>2616.6999999999998</v>
      </c>
      <c r="C116" s="68">
        <v>45.11</v>
      </c>
      <c r="D116" s="68">
        <v>107.81</v>
      </c>
      <c r="E116" s="68">
        <v>2480.8776565122898</v>
      </c>
      <c r="F116" s="68">
        <v>2472.4576565122902</v>
      </c>
      <c r="G116" s="68">
        <v>679.40313968975101</v>
      </c>
      <c r="H116" s="68">
        <v>-199.859100952381</v>
      </c>
      <c r="I116" s="68">
        <v>649.35407074626005</v>
      </c>
      <c r="J116" s="68">
        <v>0.16460612847700001</v>
      </c>
      <c r="K116" s="68">
        <v>445030.15129296802</v>
      </c>
      <c r="L116" s="68">
        <v>76803.320300281295</v>
      </c>
      <c r="M116" s="68" t="s">
        <v>333</v>
      </c>
      <c r="N116" s="68" t="s">
        <v>334</v>
      </c>
    </row>
    <row r="117" spans="1:14" s="72" customFormat="1" ht="12.75">
      <c r="A117" s="70" t="s">
        <v>3</v>
      </c>
      <c r="B117" s="71">
        <v>2644.39</v>
      </c>
      <c r="C117" s="71">
        <v>45.07</v>
      </c>
      <c r="D117" s="71">
        <v>107.6</v>
      </c>
      <c r="E117" s="71">
        <v>2500.4266738628999</v>
      </c>
      <c r="F117" s="71">
        <v>2492.0066738628998</v>
      </c>
      <c r="G117" s="71">
        <v>699.01342917814702</v>
      </c>
      <c r="H117" s="71">
        <v>-205.82298233775001</v>
      </c>
      <c r="I117" s="71">
        <v>668.03571087203397</v>
      </c>
      <c r="J117" s="71">
        <v>0.166858690512</v>
      </c>
      <c r="K117" s="71">
        <v>445024.18772174203</v>
      </c>
      <c r="L117" s="71">
        <v>76822.000968845197</v>
      </c>
      <c r="M117" s="71" t="s">
        <v>335</v>
      </c>
      <c r="N117" s="71" t="s">
        <v>336</v>
      </c>
    </row>
    <row r="118" spans="1:14" s="69" customFormat="1" ht="12.75">
      <c r="A118" s="67" t="s">
        <v>3</v>
      </c>
      <c r="B118" s="68">
        <v>2668</v>
      </c>
      <c r="C118" s="68">
        <v>45</v>
      </c>
      <c r="D118" s="68">
        <v>107.91</v>
      </c>
      <c r="E118" s="68">
        <v>2517.1112829229701</v>
      </c>
      <c r="F118" s="68">
        <v>2508.69128292297</v>
      </c>
      <c r="G118" s="68">
        <v>715.71812455635097</v>
      </c>
      <c r="H118" s="68">
        <v>-210.91708563676599</v>
      </c>
      <c r="I118" s="68">
        <v>683.94499375985004</v>
      </c>
      <c r="J118" s="68">
        <v>0.29254893633500001</v>
      </c>
      <c r="K118" s="68">
        <v>445019.09388336801</v>
      </c>
      <c r="L118" s="68">
        <v>76837.909424351004</v>
      </c>
      <c r="M118" s="68" t="s">
        <v>337</v>
      </c>
      <c r="N118" s="68" t="s">
        <v>338</v>
      </c>
    </row>
    <row r="119" spans="1:14" s="72" customFormat="1" ht="12.75">
      <c r="A119" s="70" t="s">
        <v>339</v>
      </c>
      <c r="B119" s="71">
        <v>2680</v>
      </c>
      <c r="C119" s="71">
        <v>45</v>
      </c>
      <c r="D119" s="71">
        <v>108.05</v>
      </c>
      <c r="E119" s="71">
        <v>2525.5965664081</v>
      </c>
      <c r="F119" s="71">
        <v>2517.1765664080999</v>
      </c>
      <c r="G119" s="71">
        <v>724.20302763945097</v>
      </c>
      <c r="H119" s="71">
        <v>-213.53636336538901</v>
      </c>
      <c r="I119" s="71">
        <v>692.01588668036004</v>
      </c>
      <c r="J119" s="71">
        <v>0.247487342631</v>
      </c>
      <c r="K119" s="71">
        <v>445016.47474185802</v>
      </c>
      <c r="L119" s="71">
        <v>76845.979897534693</v>
      </c>
      <c r="M119" s="71" t="s">
        <v>340</v>
      </c>
      <c r="N119" s="71" t="s">
        <v>341</v>
      </c>
    </row>
    <row r="123" spans="1:14" s="57" customFormat="1" ht="12.75">
      <c r="A123" s="133" t="s">
        <v>342</v>
      </c>
      <c r="B123" s="134"/>
      <c r="C123" s="135" t="s">
        <v>343</v>
      </c>
      <c r="D123" s="134"/>
      <c r="E123" s="134"/>
      <c r="F123" s="134"/>
      <c r="G123" s="134"/>
      <c r="H123" s="134"/>
      <c r="I123" s="134"/>
      <c r="J123" s="134"/>
      <c r="K123" s="134"/>
      <c r="L123" s="134"/>
    </row>
    <row r="126" spans="1:14" s="57" customFormat="1" ht="12.75">
      <c r="A126" s="133" t="s">
        <v>344</v>
      </c>
      <c r="B126" s="134"/>
      <c r="C126" s="135" t="s">
        <v>345</v>
      </c>
      <c r="D126" s="134"/>
      <c r="E126" s="134"/>
      <c r="F126" s="134"/>
      <c r="G126" s="134"/>
      <c r="H126" s="134"/>
      <c r="I126" s="134"/>
      <c r="J126" s="134"/>
      <c r="K126" s="134"/>
      <c r="L126" s="134"/>
    </row>
    <row r="127" spans="1:14" s="57" customFormat="1" ht="12.75">
      <c r="A127" s="133" t="s">
        <v>346</v>
      </c>
      <c r="B127" s="134"/>
      <c r="C127" s="135" t="s">
        <v>3</v>
      </c>
      <c r="D127" s="134"/>
      <c r="E127" s="134"/>
      <c r="F127" s="134"/>
      <c r="G127" s="134"/>
      <c r="H127" s="134"/>
      <c r="I127" s="134"/>
      <c r="J127" s="134"/>
      <c r="K127" s="134"/>
      <c r="L127" s="134"/>
    </row>
    <row r="128" spans="1:14" s="66" customFormat="1" ht="38.25">
      <c r="A128" s="136" t="s">
        <v>347</v>
      </c>
      <c r="B128" s="136" t="s">
        <v>3</v>
      </c>
      <c r="C128" s="65" t="s">
        <v>348</v>
      </c>
      <c r="D128" s="65" t="s">
        <v>349</v>
      </c>
      <c r="E128" s="73" t="s">
        <v>350</v>
      </c>
      <c r="F128" s="65" t="s">
        <v>351</v>
      </c>
      <c r="G128" s="65" t="s">
        <v>352</v>
      </c>
      <c r="H128" s="65" t="s">
        <v>353</v>
      </c>
      <c r="I128" s="136" t="s">
        <v>354</v>
      </c>
      <c r="J128" s="136" t="s">
        <v>3</v>
      </c>
      <c r="K128" s="136" t="s">
        <v>355</v>
      </c>
      <c r="L128" s="136" t="s">
        <v>3</v>
      </c>
    </row>
    <row r="129" spans="1:12" s="69" customFormat="1" ht="25.5" customHeight="1">
      <c r="A129" s="131" t="s">
        <v>3</v>
      </c>
      <c r="B129" s="132"/>
      <c r="C129" s="74">
        <v>1</v>
      </c>
      <c r="D129" s="75">
        <v>0</v>
      </c>
      <c r="E129" s="75">
        <v>9.32</v>
      </c>
      <c r="F129" s="75" t="s">
        <v>356</v>
      </c>
      <c r="G129" s="75">
        <v>30</v>
      </c>
      <c r="H129" s="75">
        <v>30</v>
      </c>
      <c r="I129" s="131" t="s">
        <v>59</v>
      </c>
      <c r="J129" s="132"/>
      <c r="K129" s="131" t="s">
        <v>357</v>
      </c>
      <c r="L129" s="132"/>
    </row>
    <row r="130" spans="1:12" s="69" customFormat="1" ht="25.5" customHeight="1">
      <c r="A130" s="131" t="s">
        <v>3</v>
      </c>
      <c r="B130" s="132"/>
      <c r="C130" s="74">
        <v>1</v>
      </c>
      <c r="D130" s="75">
        <v>9.32</v>
      </c>
      <c r="E130" s="75">
        <v>137</v>
      </c>
      <c r="F130" s="75" t="s">
        <v>358</v>
      </c>
      <c r="G130" s="75">
        <v>30</v>
      </c>
      <c r="H130" s="75">
        <v>30</v>
      </c>
      <c r="I130" s="131" t="s">
        <v>60</v>
      </c>
      <c r="J130" s="132"/>
      <c r="K130" s="131" t="s">
        <v>357</v>
      </c>
      <c r="L130" s="132"/>
    </row>
    <row r="131" spans="1:12" s="69" customFormat="1" ht="25.5" customHeight="1">
      <c r="A131" s="131" t="s">
        <v>3</v>
      </c>
      <c r="B131" s="132"/>
      <c r="C131" s="74">
        <v>1</v>
      </c>
      <c r="D131" s="75">
        <v>137</v>
      </c>
      <c r="E131" s="75">
        <v>137</v>
      </c>
      <c r="F131" s="75" t="s">
        <v>356</v>
      </c>
      <c r="G131" s="75">
        <v>30</v>
      </c>
      <c r="H131" s="75">
        <v>30</v>
      </c>
      <c r="I131" s="131" t="s">
        <v>60</v>
      </c>
      <c r="J131" s="132"/>
      <c r="K131" s="131" t="s">
        <v>357</v>
      </c>
      <c r="L131" s="132"/>
    </row>
    <row r="132" spans="1:12" s="69" customFormat="1" ht="25.5" customHeight="1">
      <c r="A132" s="131" t="s">
        <v>3</v>
      </c>
      <c r="B132" s="132"/>
      <c r="C132" s="74">
        <v>1</v>
      </c>
      <c r="D132" s="75">
        <v>137</v>
      </c>
      <c r="E132" s="75">
        <v>1102</v>
      </c>
      <c r="F132" s="75" t="s">
        <v>356</v>
      </c>
      <c r="G132" s="75">
        <v>24</v>
      </c>
      <c r="H132" s="75">
        <v>20</v>
      </c>
      <c r="I132" s="131" t="s">
        <v>60</v>
      </c>
      <c r="J132" s="132"/>
      <c r="K132" s="131" t="s">
        <v>357</v>
      </c>
      <c r="L132" s="132"/>
    </row>
    <row r="133" spans="1:12" s="69" customFormat="1" ht="25.5" customHeight="1">
      <c r="A133" s="131" t="s">
        <v>3</v>
      </c>
      <c r="B133" s="132"/>
      <c r="C133" s="74">
        <v>1</v>
      </c>
      <c r="D133" s="75">
        <v>1102</v>
      </c>
      <c r="E133" s="75">
        <v>2376</v>
      </c>
      <c r="F133" s="75" t="s">
        <v>356</v>
      </c>
      <c r="G133" s="75">
        <v>17.5</v>
      </c>
      <c r="H133" s="75">
        <v>13.625</v>
      </c>
      <c r="I133" s="131" t="s">
        <v>60</v>
      </c>
      <c r="J133" s="132"/>
      <c r="K133" s="131" t="s">
        <v>357</v>
      </c>
      <c r="L133" s="132"/>
    </row>
    <row r="134" spans="1:12" s="69" customFormat="1" ht="25.5" customHeight="1">
      <c r="A134" s="131" t="s">
        <v>3</v>
      </c>
      <c r="B134" s="132"/>
      <c r="C134" s="74">
        <v>1</v>
      </c>
      <c r="D134" s="75">
        <v>2376</v>
      </c>
      <c r="E134" s="75">
        <v>2680</v>
      </c>
      <c r="F134" s="75" t="s">
        <v>356</v>
      </c>
      <c r="G134" s="75">
        <v>12.25</v>
      </c>
      <c r="H134" s="75">
        <v>12.25</v>
      </c>
      <c r="I134" s="131" t="s">
        <v>60</v>
      </c>
      <c r="J134" s="132"/>
      <c r="K134" s="131" t="s">
        <v>357</v>
      </c>
      <c r="L134" s="132"/>
    </row>
  </sheetData>
  <mergeCells count="92"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  <mergeCell ref="A9:B9"/>
    <mergeCell ref="C9:F9"/>
    <mergeCell ref="G9:H9"/>
    <mergeCell ref="I9:L9"/>
    <mergeCell ref="A10:B10"/>
    <mergeCell ref="C10:F10"/>
    <mergeCell ref="G10:H10"/>
    <mergeCell ref="I10:L10"/>
    <mergeCell ref="A11:B11"/>
    <mergeCell ref="C11:F11"/>
    <mergeCell ref="G11:H11"/>
    <mergeCell ref="I11:L11"/>
    <mergeCell ref="A12:B12"/>
    <mergeCell ref="C12:F12"/>
    <mergeCell ref="G12:H12"/>
    <mergeCell ref="I12:L12"/>
    <mergeCell ref="A13:B13"/>
    <mergeCell ref="C13:F13"/>
    <mergeCell ref="G13:H13"/>
    <mergeCell ref="I13:L13"/>
    <mergeCell ref="A14:B14"/>
    <mergeCell ref="C14:F14"/>
    <mergeCell ref="G14:H14"/>
    <mergeCell ref="I14:L14"/>
    <mergeCell ref="A15:B15"/>
    <mergeCell ref="C15:F15"/>
    <mergeCell ref="G15:H15"/>
    <mergeCell ref="I15:L15"/>
    <mergeCell ref="A16:B16"/>
    <mergeCell ref="C16:F16"/>
    <mergeCell ref="G16:H16"/>
    <mergeCell ref="I16:L16"/>
    <mergeCell ref="A17:B17"/>
    <mergeCell ref="C17:F17"/>
    <mergeCell ref="G17:H17"/>
    <mergeCell ref="I17:L17"/>
    <mergeCell ref="A18:B18"/>
    <mergeCell ref="C18:F18"/>
    <mergeCell ref="G18:H18"/>
    <mergeCell ref="I18:L18"/>
    <mergeCell ref="A19:B19"/>
    <mergeCell ref="C19:F19"/>
    <mergeCell ref="G19:H19"/>
    <mergeCell ref="I19:L19"/>
    <mergeCell ref="A20:B20"/>
    <mergeCell ref="G20:H20"/>
    <mergeCell ref="I20:L20"/>
    <mergeCell ref="A129:B129"/>
    <mergeCell ref="I129:J129"/>
    <mergeCell ref="K129:L129"/>
    <mergeCell ref="G21:H21"/>
    <mergeCell ref="I21:L21"/>
    <mergeCell ref="A123:B123"/>
    <mergeCell ref="C123:L123"/>
    <mergeCell ref="A126:B126"/>
    <mergeCell ref="C126:L126"/>
    <mergeCell ref="A127:B127"/>
    <mergeCell ref="C127:L127"/>
    <mergeCell ref="A128:B128"/>
    <mergeCell ref="I128:J128"/>
    <mergeCell ref="K128:L128"/>
    <mergeCell ref="A130:B130"/>
    <mergeCell ref="I130:J130"/>
    <mergeCell ref="K130:L130"/>
    <mergeCell ref="A131:B131"/>
    <mergeCell ref="I131:J131"/>
    <mergeCell ref="K131:L131"/>
    <mergeCell ref="A134:B134"/>
    <mergeCell ref="I134:J134"/>
    <mergeCell ref="K134:L134"/>
    <mergeCell ref="A132:B132"/>
    <mergeCell ref="I132:J132"/>
    <mergeCell ref="K132:L132"/>
    <mergeCell ref="A133:B133"/>
    <mergeCell ref="I133:J133"/>
    <mergeCell ref="K133:L133"/>
  </mergeCells>
  <pageMargins left="0.25" right="0.25" top="0.75" bottom="0.75" header="0.3" footer="0.3"/>
  <pageSetup paperSize="9" scale="48" fitToHeight="0" orientation="portrait" r:id="rId1"/>
  <headerFooter scaleWithDoc="0">
    <oddFooter>&amp;L&amp;"Arial,Regular"&amp;7Drilling Office 2.10.254.0&amp;R&amp;"Arial,Regular"&amp;7&amp;D &amp;T  Page &amp;P of &amp;N&amp;C&amp;"Arial,Regular"&amp;7 Naaldwijk (Trias Westland)\NLW-GT-02\NLW-GT-02\NLW-GT-02-S1\NLW-GT-02-S1 Def Survey _x000D_&amp;1#&amp;"Calibri"&amp;10 Schlumberger-Private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9"/>
  <sheetViews>
    <sheetView showGridLines="0" zoomScaleNormal="100" workbookViewId="0">
      <pane ySplit="23" topLeftCell="A24" activePane="bottomLeft" state="frozen"/>
      <selection pane="bottomLeft" activeCell="A24" sqref="A24:XFD24"/>
    </sheetView>
  </sheetViews>
  <sheetFormatPr defaultColWidth="14.7109375" defaultRowHeight="14.25"/>
  <cols>
    <col min="1" max="2" width="14.28515625" style="48" customWidth="1"/>
    <col min="3" max="3" width="14.5703125" style="48" customWidth="1"/>
    <col min="4" max="4" width="15" style="48" customWidth="1"/>
    <col min="5" max="5" width="14.140625" style="48" customWidth="1"/>
    <col min="6" max="6" width="14.85546875" style="48" customWidth="1"/>
    <col min="7" max="7" width="14.7109375" style="48" customWidth="1"/>
    <col min="8" max="8" width="15" style="48" customWidth="1"/>
    <col min="9" max="9" width="14" style="48" customWidth="1"/>
    <col min="10" max="12" width="14.28515625" style="48" customWidth="1"/>
    <col min="13" max="13" width="14" style="48" customWidth="1"/>
    <col min="14" max="14" width="15.28515625" style="48" customWidth="1"/>
    <col min="15" max="15" width="14.5703125" style="48" customWidth="1"/>
    <col min="16" max="16" width="14" style="48" customWidth="1"/>
    <col min="17" max="17" width="14.28515625" style="48" customWidth="1"/>
    <col min="18" max="16384" width="14.7109375" style="48"/>
  </cols>
  <sheetData>
    <row r="1" spans="1:12" ht="45" customHeight="1"/>
    <row r="2" spans="1:12" ht="45" customHeight="1">
      <c r="A2" s="49"/>
      <c r="B2" s="49"/>
      <c r="C2" s="50" t="s">
        <v>363</v>
      </c>
      <c r="D2" s="50"/>
      <c r="E2" s="51"/>
      <c r="F2" s="51"/>
      <c r="G2" s="51"/>
      <c r="H2" s="51"/>
      <c r="I2" s="50"/>
      <c r="J2" s="50"/>
      <c r="K2" s="49"/>
      <c r="L2" s="49"/>
    </row>
    <row r="3" spans="1:12" s="55" customFormat="1" ht="20.25">
      <c r="A3" s="52"/>
      <c r="B3" s="52"/>
      <c r="C3" s="53" t="s">
        <v>93</v>
      </c>
      <c r="D3" s="53"/>
      <c r="E3" s="53"/>
      <c r="F3" s="54"/>
      <c r="G3" s="54"/>
      <c r="H3" s="53"/>
      <c r="I3" s="53"/>
      <c r="J3" s="53"/>
      <c r="K3" s="52"/>
      <c r="L3" s="52"/>
    </row>
    <row r="4" spans="1:12" s="56" customFormat="1" ht="13.5" customHeight="1"/>
    <row r="5" spans="1:12" s="57" customFormat="1" ht="14.1" customHeight="1">
      <c r="A5" s="137" t="s">
        <v>6</v>
      </c>
      <c r="B5" s="137"/>
      <c r="C5" s="144" t="s">
        <v>364</v>
      </c>
      <c r="D5" s="145"/>
      <c r="E5" s="145"/>
      <c r="F5" s="145"/>
      <c r="G5" s="137" t="s">
        <v>95</v>
      </c>
      <c r="H5" s="142"/>
      <c r="I5" s="138" t="s">
        <v>96</v>
      </c>
      <c r="J5" s="143"/>
      <c r="K5" s="143"/>
      <c r="L5" s="143"/>
    </row>
    <row r="6" spans="1:12" s="57" customFormat="1" ht="14.1" customHeight="1">
      <c r="A6" s="137" t="s">
        <v>2</v>
      </c>
      <c r="B6" s="137"/>
      <c r="C6" s="139" t="s">
        <v>3</v>
      </c>
      <c r="D6" s="140"/>
      <c r="E6" s="140"/>
      <c r="F6" s="140"/>
      <c r="G6" s="137" t="s">
        <v>97</v>
      </c>
      <c r="H6" s="142"/>
      <c r="I6" s="138" t="s">
        <v>52</v>
      </c>
      <c r="J6" s="143"/>
      <c r="K6" s="143"/>
      <c r="L6" s="143"/>
    </row>
    <row r="7" spans="1:12" s="57" customFormat="1" ht="14.1" customHeight="1">
      <c r="A7" s="137" t="s">
        <v>8</v>
      </c>
      <c r="B7" s="137"/>
      <c r="C7" s="139" t="s">
        <v>9</v>
      </c>
      <c r="D7" s="140"/>
      <c r="E7" s="140"/>
      <c r="F7" s="140"/>
      <c r="G7" s="137" t="s">
        <v>47</v>
      </c>
      <c r="H7" s="142"/>
      <c r="I7" s="138" t="s">
        <v>48</v>
      </c>
      <c r="J7" s="143"/>
      <c r="K7" s="143"/>
      <c r="L7" s="143"/>
    </row>
    <row r="8" spans="1:12" s="57" customFormat="1" ht="14.1" customHeight="1">
      <c r="A8" s="137" t="s">
        <v>98</v>
      </c>
      <c r="B8" s="137"/>
      <c r="C8" s="139" t="s">
        <v>99</v>
      </c>
      <c r="D8" s="140"/>
      <c r="E8" s="140"/>
      <c r="F8" s="140"/>
      <c r="G8" s="137" t="s">
        <v>41</v>
      </c>
      <c r="H8" s="142"/>
      <c r="I8" s="138" t="s">
        <v>100</v>
      </c>
      <c r="J8" s="143"/>
      <c r="K8" s="143"/>
      <c r="L8" s="143"/>
    </row>
    <row r="9" spans="1:12" s="57" customFormat="1" ht="14.1" customHeight="1">
      <c r="A9" s="137" t="s">
        <v>101</v>
      </c>
      <c r="B9" s="137"/>
      <c r="C9" s="139" t="s">
        <v>11</v>
      </c>
      <c r="D9" s="140"/>
      <c r="E9" s="140"/>
      <c r="F9" s="140"/>
      <c r="G9" s="137" t="s">
        <v>45</v>
      </c>
      <c r="H9" s="142"/>
      <c r="I9" s="138" t="s">
        <v>46</v>
      </c>
      <c r="J9" s="143"/>
      <c r="K9" s="143"/>
      <c r="L9" s="143"/>
    </row>
    <row r="10" spans="1:12" s="57" customFormat="1" ht="14.1" customHeight="1">
      <c r="A10" s="137" t="s">
        <v>12</v>
      </c>
      <c r="B10" s="137"/>
      <c r="C10" s="139" t="s">
        <v>13</v>
      </c>
      <c r="D10" s="140"/>
      <c r="E10" s="140"/>
      <c r="F10" s="140"/>
      <c r="G10" s="137" t="s">
        <v>102</v>
      </c>
      <c r="H10" s="142"/>
      <c r="I10" s="138" t="s">
        <v>50</v>
      </c>
      <c r="J10" s="143"/>
      <c r="K10" s="143"/>
      <c r="L10" s="143"/>
    </row>
    <row r="11" spans="1:12" s="57" customFormat="1" ht="14.1" customHeight="1">
      <c r="A11" s="137" t="s">
        <v>103</v>
      </c>
      <c r="B11" s="137"/>
      <c r="C11" s="139" t="s">
        <v>104</v>
      </c>
      <c r="D11" s="140"/>
      <c r="E11" s="140"/>
      <c r="F11" s="140"/>
      <c r="G11" s="137" t="s">
        <v>35</v>
      </c>
      <c r="H11" s="142"/>
      <c r="I11" s="138" t="s">
        <v>36</v>
      </c>
      <c r="J11" s="143"/>
      <c r="K11" s="143"/>
      <c r="L11" s="143"/>
    </row>
    <row r="12" spans="1:12" s="57" customFormat="1" ht="14.1" customHeight="1">
      <c r="A12" s="137" t="s">
        <v>105</v>
      </c>
      <c r="B12" s="137"/>
      <c r="C12" s="138" t="s">
        <v>18</v>
      </c>
      <c r="D12" s="142"/>
      <c r="E12" s="142"/>
      <c r="F12" s="142"/>
      <c r="G12" s="137" t="s">
        <v>106</v>
      </c>
      <c r="H12" s="137"/>
      <c r="I12" s="138" t="s">
        <v>107</v>
      </c>
      <c r="J12" s="138"/>
      <c r="K12" s="138"/>
      <c r="L12" s="138"/>
    </row>
    <row r="13" spans="1:12" s="57" customFormat="1" ht="14.1" customHeight="1">
      <c r="A13" s="137" t="s">
        <v>26</v>
      </c>
      <c r="B13" s="137"/>
      <c r="C13" s="139" t="s">
        <v>108</v>
      </c>
      <c r="D13" s="140"/>
      <c r="E13" s="140"/>
      <c r="F13" s="140"/>
      <c r="G13" s="137" t="s">
        <v>109</v>
      </c>
      <c r="H13" s="137"/>
      <c r="I13" s="138" t="s">
        <v>110</v>
      </c>
      <c r="J13" s="138"/>
      <c r="K13" s="138"/>
      <c r="L13" s="138"/>
    </row>
    <row r="14" spans="1:12" s="57" customFormat="1" ht="14.1" customHeight="1">
      <c r="A14" s="137" t="s">
        <v>111</v>
      </c>
      <c r="B14" s="137"/>
      <c r="C14" s="138" t="s">
        <v>112</v>
      </c>
      <c r="D14" s="142"/>
      <c r="E14" s="142"/>
      <c r="F14" s="142"/>
      <c r="G14" s="137" t="s">
        <v>113</v>
      </c>
      <c r="H14" s="137"/>
      <c r="I14" s="138" t="s">
        <v>114</v>
      </c>
      <c r="J14" s="138"/>
      <c r="K14" s="138"/>
      <c r="L14" s="138"/>
    </row>
    <row r="15" spans="1:12" s="57" customFormat="1" ht="14.1" customHeight="1">
      <c r="A15" s="137" t="s">
        <v>115</v>
      </c>
      <c r="B15" s="137"/>
      <c r="C15" s="139" t="s">
        <v>38</v>
      </c>
      <c r="D15" s="140"/>
      <c r="E15" s="140"/>
      <c r="F15" s="140"/>
      <c r="G15" s="137" t="s">
        <v>116</v>
      </c>
      <c r="H15" s="137"/>
      <c r="I15" s="138" t="s">
        <v>117</v>
      </c>
      <c r="J15" s="138"/>
      <c r="K15" s="138"/>
      <c r="L15" s="138"/>
    </row>
    <row r="16" spans="1:12" s="57" customFormat="1" ht="14.1" customHeight="1">
      <c r="A16" s="137" t="s">
        <v>118</v>
      </c>
      <c r="B16" s="137"/>
      <c r="C16" s="139" t="s">
        <v>119</v>
      </c>
      <c r="D16" s="140"/>
      <c r="E16" s="140"/>
      <c r="F16" s="140"/>
      <c r="G16" s="137" t="s">
        <v>120</v>
      </c>
      <c r="H16" s="137"/>
      <c r="I16" s="141" t="s">
        <v>121</v>
      </c>
      <c r="J16" s="141"/>
      <c r="K16" s="141"/>
      <c r="L16" s="141"/>
    </row>
    <row r="17" spans="1:14" s="57" customFormat="1" ht="14.1" customHeight="1">
      <c r="A17" s="137" t="s">
        <v>122</v>
      </c>
      <c r="B17" s="137"/>
      <c r="C17" s="139" t="s">
        <v>123</v>
      </c>
      <c r="D17" s="140"/>
      <c r="E17" s="140"/>
      <c r="F17" s="140"/>
      <c r="G17" s="137" t="s">
        <v>124</v>
      </c>
      <c r="H17" s="137"/>
      <c r="I17" s="138" t="s">
        <v>32</v>
      </c>
      <c r="J17" s="138"/>
      <c r="K17" s="138"/>
      <c r="L17" s="138"/>
    </row>
    <row r="18" spans="1:14" s="57" customFormat="1" ht="14.1" customHeight="1">
      <c r="A18" s="137" t="s">
        <v>125</v>
      </c>
      <c r="B18" s="137"/>
      <c r="C18" s="139" t="s">
        <v>126</v>
      </c>
      <c r="D18" s="140"/>
      <c r="E18" s="140"/>
      <c r="F18" s="140"/>
      <c r="G18" s="137" t="s">
        <v>127</v>
      </c>
      <c r="H18" s="137"/>
      <c r="I18" s="138" t="s">
        <v>30</v>
      </c>
      <c r="J18" s="138"/>
      <c r="K18" s="138"/>
      <c r="L18" s="138"/>
    </row>
    <row r="19" spans="1:14" s="57" customFormat="1" ht="12.75">
      <c r="A19" s="137" t="s">
        <v>128</v>
      </c>
      <c r="B19" s="137"/>
      <c r="C19" s="139">
        <v>0.99994799000000001</v>
      </c>
      <c r="D19" s="140"/>
      <c r="E19" s="140"/>
      <c r="F19" s="140"/>
      <c r="G19" s="137" t="s">
        <v>129</v>
      </c>
      <c r="H19" s="137"/>
      <c r="I19" s="138" t="s">
        <v>126</v>
      </c>
      <c r="J19" s="138"/>
      <c r="K19" s="138"/>
      <c r="L19" s="138"/>
    </row>
    <row r="20" spans="1:14" s="57" customFormat="1" ht="25.5" customHeight="1">
      <c r="A20" s="137" t="s">
        <v>130</v>
      </c>
      <c r="B20" s="137"/>
      <c r="C20" s="58" t="s">
        <v>131</v>
      </c>
      <c r="D20" s="59"/>
      <c r="E20" s="59"/>
      <c r="F20" s="59"/>
      <c r="G20" s="137" t="s">
        <v>132</v>
      </c>
      <c r="H20" s="137"/>
      <c r="I20" s="138" t="s">
        <v>44</v>
      </c>
      <c r="J20" s="138"/>
      <c r="K20" s="138"/>
      <c r="L20" s="138"/>
    </row>
    <row r="21" spans="1:14" s="57" customFormat="1" ht="12.75">
      <c r="A21" s="60"/>
      <c r="B21" s="60"/>
      <c r="C21" s="58"/>
      <c r="D21" s="59"/>
      <c r="E21" s="59"/>
      <c r="F21" s="59"/>
      <c r="G21" s="137" t="s">
        <v>133</v>
      </c>
      <c r="H21" s="137"/>
      <c r="I21" s="138" t="s">
        <v>134</v>
      </c>
      <c r="J21" s="138"/>
      <c r="K21" s="138"/>
      <c r="L21" s="138"/>
    </row>
    <row r="22" spans="1:14" s="57" customFormat="1" ht="14.1" customHeight="1">
      <c r="A22" s="61"/>
      <c r="B22" s="61"/>
      <c r="C22" s="61"/>
      <c r="D22" s="62"/>
      <c r="E22" s="62"/>
      <c r="F22" s="62"/>
      <c r="J22" s="63"/>
      <c r="K22" s="63"/>
      <c r="L22" s="63"/>
    </row>
    <row r="23" spans="1:14" s="66" customFormat="1" ht="51">
      <c r="A23" s="64" t="s">
        <v>135</v>
      </c>
      <c r="B23" s="65" t="s">
        <v>136</v>
      </c>
      <c r="C23" s="65" t="s">
        <v>137</v>
      </c>
      <c r="D23" s="65" t="s">
        <v>138</v>
      </c>
      <c r="E23" s="65" t="s">
        <v>139</v>
      </c>
      <c r="F23" s="65" t="s">
        <v>141</v>
      </c>
      <c r="G23" s="65" t="s">
        <v>142</v>
      </c>
      <c r="H23" s="65" t="s">
        <v>143</v>
      </c>
      <c r="I23" s="65" t="s">
        <v>144</v>
      </c>
      <c r="J23" s="65" t="s">
        <v>365</v>
      </c>
      <c r="K23" s="65" t="s">
        <v>366</v>
      </c>
      <c r="L23" s="65" t="s">
        <v>367</v>
      </c>
      <c r="M23" s="65" t="s">
        <v>368</v>
      </c>
      <c r="N23" s="73" t="s">
        <v>369</v>
      </c>
    </row>
    <row r="24" spans="1:14" s="69" customFormat="1" ht="12.75">
      <c r="A24" s="67" t="s">
        <v>149</v>
      </c>
      <c r="B24" s="68">
        <v>0</v>
      </c>
      <c r="C24" s="68">
        <v>0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 t="s">
        <v>27</v>
      </c>
      <c r="J24" s="68">
        <v>0.38100000000000001</v>
      </c>
      <c r="K24" s="68">
        <v>0.38100000000000001</v>
      </c>
      <c r="L24" s="68">
        <v>0</v>
      </c>
      <c r="M24" s="68">
        <v>90</v>
      </c>
      <c r="N24" s="76" t="s">
        <v>59</v>
      </c>
    </row>
    <row r="25" spans="1:14" s="72" customFormat="1" ht="12.75">
      <c r="A25" s="70" t="s">
        <v>152</v>
      </c>
      <c r="B25" s="71">
        <v>9.32</v>
      </c>
      <c r="C25" s="71">
        <v>0</v>
      </c>
      <c r="D25" s="71">
        <v>0</v>
      </c>
      <c r="E25" s="71">
        <v>9.32</v>
      </c>
      <c r="F25" s="71">
        <v>0</v>
      </c>
      <c r="G25" s="71">
        <v>0</v>
      </c>
      <c r="H25" s="71">
        <v>0</v>
      </c>
      <c r="I25" s="71">
        <v>0</v>
      </c>
      <c r="J25" s="71">
        <v>0.38100000000000001</v>
      </c>
      <c r="K25" s="71">
        <v>0.38100000000000001</v>
      </c>
      <c r="L25" s="71">
        <v>0.97843922177999998</v>
      </c>
      <c r="M25" s="71">
        <v>90</v>
      </c>
      <c r="N25" s="77" t="s">
        <v>59</v>
      </c>
    </row>
    <row r="26" spans="1:14" s="69" customFormat="1" ht="25.5">
      <c r="A26" s="67" t="s">
        <v>153</v>
      </c>
      <c r="B26" s="68">
        <v>143.59</v>
      </c>
      <c r="C26" s="68">
        <v>2.13</v>
      </c>
      <c r="D26" s="68">
        <v>43.05</v>
      </c>
      <c r="E26" s="68">
        <v>143.55907486028499</v>
      </c>
      <c r="F26" s="68">
        <v>1.078580166174</v>
      </c>
      <c r="G26" s="68">
        <v>1.823600422673</v>
      </c>
      <c r="H26" s="68">
        <v>1.70351256998</v>
      </c>
      <c r="I26" s="68">
        <v>0.475906755046</v>
      </c>
      <c r="J26" s="68">
        <v>0.64176640537100005</v>
      </c>
      <c r="K26" s="68">
        <v>0.63802463978500001</v>
      </c>
      <c r="L26" s="68">
        <v>0.98274005709599999</v>
      </c>
      <c r="M26" s="68">
        <v>139.159478959495</v>
      </c>
      <c r="N26" s="76" t="s">
        <v>60</v>
      </c>
    </row>
    <row r="27" spans="1:14" s="72" customFormat="1" ht="12.75">
      <c r="A27" s="70" t="s">
        <v>156</v>
      </c>
      <c r="B27" s="71">
        <v>171.48</v>
      </c>
      <c r="C27" s="71">
        <v>2.4300000000000002</v>
      </c>
      <c r="D27" s="71">
        <v>60.83</v>
      </c>
      <c r="E27" s="71">
        <v>171.42731331518999</v>
      </c>
      <c r="F27" s="71">
        <v>1.7087531058300001</v>
      </c>
      <c r="G27" s="71">
        <v>2.4905345801659999</v>
      </c>
      <c r="H27" s="71">
        <v>2.573598281168</v>
      </c>
      <c r="I27" s="71">
        <v>0.82214714135800004</v>
      </c>
      <c r="J27" s="71">
        <v>0.65517030741299997</v>
      </c>
      <c r="K27" s="71">
        <v>0.64697870959199999</v>
      </c>
      <c r="L27" s="71">
        <v>0.98468740985100001</v>
      </c>
      <c r="M27" s="71">
        <v>146.175696024129</v>
      </c>
      <c r="N27" s="77" t="s">
        <v>60</v>
      </c>
    </row>
    <row r="28" spans="1:14" s="69" customFormat="1" ht="12.75">
      <c r="A28" s="67" t="s">
        <v>156</v>
      </c>
      <c r="B28" s="68">
        <v>200.72</v>
      </c>
      <c r="C28" s="68">
        <v>4.05</v>
      </c>
      <c r="D28" s="68">
        <v>79.42</v>
      </c>
      <c r="E28" s="68">
        <v>200.62036261174501</v>
      </c>
      <c r="F28" s="68">
        <v>3.0462037613019999</v>
      </c>
      <c r="G28" s="68">
        <v>2.9822942034329998</v>
      </c>
      <c r="H28" s="68">
        <v>4.1300116080139997</v>
      </c>
      <c r="I28" s="68">
        <v>1.9602565345530001</v>
      </c>
      <c r="J28" s="68">
        <v>0.69112409319400003</v>
      </c>
      <c r="K28" s="68">
        <v>0.67718480143699999</v>
      </c>
      <c r="L28" s="68">
        <v>0.98685465479900003</v>
      </c>
      <c r="M28" s="68">
        <v>155.513307205594</v>
      </c>
      <c r="N28" s="76" t="s">
        <v>60</v>
      </c>
    </row>
    <row r="29" spans="1:14" s="72" customFormat="1" ht="12.75">
      <c r="A29" s="70" t="s">
        <v>156</v>
      </c>
      <c r="B29" s="71">
        <v>228.81</v>
      </c>
      <c r="C29" s="71">
        <v>5.71</v>
      </c>
      <c r="D29" s="71">
        <v>88.57</v>
      </c>
      <c r="E29" s="71">
        <v>228.607976121744</v>
      </c>
      <c r="F29" s="71">
        <v>5.2443231720950001</v>
      </c>
      <c r="G29" s="71">
        <v>3.1993165147060001</v>
      </c>
      <c r="H29" s="71">
        <v>6.5022550348130004</v>
      </c>
      <c r="I29" s="71">
        <v>1.952637638586</v>
      </c>
      <c r="J29" s="71">
        <v>0.75283920203200005</v>
      </c>
      <c r="K29" s="71">
        <v>0.72618324542500001</v>
      </c>
      <c r="L29" s="71">
        <v>0.98866368038800001</v>
      </c>
      <c r="M29" s="71">
        <v>163.78425459763301</v>
      </c>
      <c r="N29" s="77" t="s">
        <v>60</v>
      </c>
    </row>
    <row r="30" spans="1:14" s="69" customFormat="1" ht="25.5">
      <c r="A30" s="67" t="s">
        <v>163</v>
      </c>
      <c r="B30" s="68">
        <v>256.86</v>
      </c>
      <c r="C30" s="68">
        <v>7.22</v>
      </c>
      <c r="D30" s="68">
        <v>88.59</v>
      </c>
      <c r="E30" s="68">
        <v>256.47879459232701</v>
      </c>
      <c r="F30" s="68">
        <v>8.2329801786620003</v>
      </c>
      <c r="G30" s="68">
        <v>3.277517052361</v>
      </c>
      <c r="H30" s="68">
        <v>9.6595202122790003</v>
      </c>
      <c r="I30" s="68">
        <v>1.6149750335699999</v>
      </c>
      <c r="J30" s="68">
        <v>0.83966786948399996</v>
      </c>
      <c r="K30" s="68">
        <v>0.784985846396</v>
      </c>
      <c r="L30" s="68">
        <v>0.99064295136199998</v>
      </c>
      <c r="M30" s="68">
        <v>169.13982142364799</v>
      </c>
      <c r="N30" s="76" t="s">
        <v>60</v>
      </c>
    </row>
    <row r="31" spans="1:14" s="72" customFormat="1" ht="25.5">
      <c r="A31" s="70" t="s">
        <v>163</v>
      </c>
      <c r="B31" s="71">
        <v>284.89999999999998</v>
      </c>
      <c r="C31" s="71">
        <v>6.54</v>
      </c>
      <c r="D31" s="71">
        <v>86.73</v>
      </c>
      <c r="E31" s="71">
        <v>284.31675625373799</v>
      </c>
      <c r="F31" s="71">
        <v>11.394157075901999</v>
      </c>
      <c r="G31" s="71">
        <v>3.4119618435349999</v>
      </c>
      <c r="H31" s="71">
        <v>13.015291064015001</v>
      </c>
      <c r="I31" s="71">
        <v>0.76549790632900006</v>
      </c>
      <c r="J31" s="71">
        <v>0.88241085032599997</v>
      </c>
      <c r="K31" s="71">
        <v>0.78737581289799996</v>
      </c>
      <c r="L31" s="71">
        <v>0.99278692195399998</v>
      </c>
      <c r="M31" s="71">
        <v>170.55469553253499</v>
      </c>
      <c r="N31" s="77" t="s">
        <v>60</v>
      </c>
    </row>
    <row r="32" spans="1:14" s="69" customFormat="1" ht="25.5">
      <c r="A32" s="67" t="s">
        <v>163</v>
      </c>
      <c r="B32" s="68">
        <v>312.51</v>
      </c>
      <c r="C32" s="68">
        <v>7.69</v>
      </c>
      <c r="D32" s="68">
        <v>90.35</v>
      </c>
      <c r="E32" s="68">
        <v>311.713825683371</v>
      </c>
      <c r="F32" s="68">
        <v>14.630711332575</v>
      </c>
      <c r="G32" s="68">
        <v>3.4903691084470001</v>
      </c>
      <c r="H32" s="68">
        <v>16.432465876565001</v>
      </c>
      <c r="I32" s="68">
        <v>1.340560907775</v>
      </c>
      <c r="J32" s="68">
        <v>0.932932319234</v>
      </c>
      <c r="K32" s="68">
        <v>0.78980396483799997</v>
      </c>
      <c r="L32" s="68">
        <v>0.996979585389</v>
      </c>
      <c r="M32" s="68">
        <v>173.329825918138</v>
      </c>
      <c r="N32" s="76" t="s">
        <v>60</v>
      </c>
    </row>
    <row r="33" spans="1:14" s="72" customFormat="1" ht="25.5">
      <c r="A33" s="70" t="s">
        <v>163</v>
      </c>
      <c r="B33" s="71">
        <v>340.21</v>
      </c>
      <c r="C33" s="71">
        <v>8.35</v>
      </c>
      <c r="D33" s="71">
        <v>88.51</v>
      </c>
      <c r="E33" s="71">
        <v>339.14279799066901</v>
      </c>
      <c r="F33" s="71">
        <v>18.304708095392002</v>
      </c>
      <c r="G33" s="71">
        <v>3.5313470353169998</v>
      </c>
      <c r="H33" s="71">
        <v>20.296406000857999</v>
      </c>
      <c r="I33" s="71">
        <v>0.76688026963900002</v>
      </c>
      <c r="J33" s="71">
        <v>1.0473544155050001</v>
      </c>
      <c r="K33" s="71">
        <v>0.85046030111000004</v>
      </c>
      <c r="L33" s="71">
        <v>1.000425059658</v>
      </c>
      <c r="M33" s="71">
        <v>174.02879999881401</v>
      </c>
      <c r="N33" s="77" t="s">
        <v>60</v>
      </c>
    </row>
    <row r="34" spans="1:14" s="69" customFormat="1" ht="12.75">
      <c r="A34" s="67" t="s">
        <v>156</v>
      </c>
      <c r="B34" s="68">
        <v>368.61</v>
      </c>
      <c r="C34" s="68">
        <v>9.23</v>
      </c>
      <c r="D34" s="68">
        <v>88.49</v>
      </c>
      <c r="E34" s="68">
        <v>367.20896604923399</v>
      </c>
      <c r="F34" s="68">
        <v>22.409539074923</v>
      </c>
      <c r="G34" s="68">
        <v>3.6449888419779999</v>
      </c>
      <c r="H34" s="68">
        <v>24.634774431934002</v>
      </c>
      <c r="I34" s="68">
        <v>0.92958305708900002</v>
      </c>
      <c r="J34" s="68">
        <v>1.1777400728859999</v>
      </c>
      <c r="K34" s="68">
        <v>0.91965594145700003</v>
      </c>
      <c r="L34" s="68">
        <v>1.005113787073</v>
      </c>
      <c r="M34" s="68">
        <v>175.01212009529601</v>
      </c>
      <c r="N34" s="76" t="s">
        <v>60</v>
      </c>
    </row>
    <row r="35" spans="1:14" s="72" customFormat="1" ht="12.75">
      <c r="A35" s="70" t="s">
        <v>156</v>
      </c>
      <c r="B35" s="71">
        <v>396.44</v>
      </c>
      <c r="C35" s="71">
        <v>10.38</v>
      </c>
      <c r="D35" s="71">
        <v>94.74</v>
      </c>
      <c r="E35" s="71">
        <v>394.632779283383</v>
      </c>
      <c r="F35" s="71">
        <v>26.966558513948002</v>
      </c>
      <c r="G35" s="71">
        <v>3.4966181547540001</v>
      </c>
      <c r="H35" s="71">
        <v>29.364803878648999</v>
      </c>
      <c r="I35" s="71">
        <v>1.6874292893039999</v>
      </c>
      <c r="J35" s="71">
        <v>1.312660068477</v>
      </c>
      <c r="K35" s="71">
        <v>0.99077531247100004</v>
      </c>
      <c r="L35" s="71">
        <v>1.010193560729</v>
      </c>
      <c r="M35" s="71">
        <v>177.682441152954</v>
      </c>
      <c r="N35" s="77" t="s">
        <v>60</v>
      </c>
    </row>
    <row r="36" spans="1:14" s="69" customFormat="1" ht="12.75">
      <c r="A36" s="67" t="s">
        <v>156</v>
      </c>
      <c r="B36" s="68">
        <v>424.21</v>
      </c>
      <c r="C36" s="68">
        <v>12.96</v>
      </c>
      <c r="D36" s="68">
        <v>99.87</v>
      </c>
      <c r="E36" s="68">
        <v>421.82717805016199</v>
      </c>
      <c r="F36" s="68">
        <v>32.495003097891001</v>
      </c>
      <c r="G36" s="68">
        <v>2.7559626072180001</v>
      </c>
      <c r="H36" s="68">
        <v>34.926988667738001</v>
      </c>
      <c r="I36" s="68">
        <v>3.001510236314</v>
      </c>
      <c r="J36" s="68">
        <v>1.467499506055</v>
      </c>
      <c r="K36" s="68">
        <v>1.063870294914</v>
      </c>
      <c r="L36" s="68">
        <v>1.0163005781409999</v>
      </c>
      <c r="M36" s="68">
        <v>180.25370879764</v>
      </c>
      <c r="N36" s="76" t="s">
        <v>60</v>
      </c>
    </row>
    <row r="37" spans="1:14" s="72" customFormat="1" ht="12.75">
      <c r="A37" s="70" t="s">
        <v>156</v>
      </c>
      <c r="B37" s="71">
        <v>451.76</v>
      </c>
      <c r="C37" s="71">
        <v>12.67</v>
      </c>
      <c r="D37" s="71">
        <v>105.98</v>
      </c>
      <c r="E37" s="71">
        <v>448.69216646819098</v>
      </c>
      <c r="F37" s="71">
        <v>38.578051733629998</v>
      </c>
      <c r="G37" s="71">
        <v>1.394562482332</v>
      </c>
      <c r="H37" s="71">
        <v>40.875477318671997</v>
      </c>
      <c r="I37" s="71">
        <v>1.5084082605839999</v>
      </c>
      <c r="J37" s="71">
        <v>1.60149737897</v>
      </c>
      <c r="K37" s="71">
        <v>1.1101331636989999</v>
      </c>
      <c r="L37" s="71">
        <v>1.0191316237820001</v>
      </c>
      <c r="M37" s="71">
        <v>182.823382757395</v>
      </c>
      <c r="N37" s="77" t="s">
        <v>60</v>
      </c>
    </row>
    <row r="38" spans="1:14" s="69" customFormat="1" ht="12.75">
      <c r="A38" s="67" t="s">
        <v>156</v>
      </c>
      <c r="B38" s="68">
        <v>480.28</v>
      </c>
      <c r="C38" s="68">
        <v>11.94</v>
      </c>
      <c r="D38" s="68">
        <v>107.66</v>
      </c>
      <c r="E38" s="68">
        <v>476.55687806545899</v>
      </c>
      <c r="F38" s="68">
        <v>44.655049135186999</v>
      </c>
      <c r="G38" s="68">
        <v>-0.36153437254100002</v>
      </c>
      <c r="H38" s="68">
        <v>46.693614822930002</v>
      </c>
      <c r="I38" s="68">
        <v>0.85518915924500005</v>
      </c>
      <c r="J38" s="68">
        <v>1.6942599572770001</v>
      </c>
      <c r="K38" s="68">
        <v>1.0829901134069999</v>
      </c>
      <c r="L38" s="68">
        <v>1.024685786584</v>
      </c>
      <c r="M38" s="68">
        <v>184.547568154868</v>
      </c>
      <c r="N38" s="76" t="s">
        <v>60</v>
      </c>
    </row>
    <row r="39" spans="1:14" s="72" customFormat="1" ht="12.75">
      <c r="A39" s="70" t="s">
        <v>156</v>
      </c>
      <c r="B39" s="71">
        <v>508.01</v>
      </c>
      <c r="C39" s="71">
        <v>13.16</v>
      </c>
      <c r="D39" s="71">
        <v>109.74</v>
      </c>
      <c r="E39" s="71">
        <v>503.62394709842602</v>
      </c>
      <c r="F39" s="71">
        <v>50.677900586093003</v>
      </c>
      <c r="G39" s="71">
        <v>-2.2979956343430001</v>
      </c>
      <c r="H39" s="71">
        <v>52.398328795962001</v>
      </c>
      <c r="I39" s="71">
        <v>1.4073247143059999</v>
      </c>
      <c r="J39" s="71">
        <v>1.8229622004549999</v>
      </c>
      <c r="K39" s="71">
        <v>1.0972216365930001</v>
      </c>
      <c r="L39" s="71">
        <v>1.0332199347319999</v>
      </c>
      <c r="M39" s="71">
        <v>186.40100633980501</v>
      </c>
      <c r="N39" s="77" t="s">
        <v>60</v>
      </c>
    </row>
    <row r="40" spans="1:14" s="69" customFormat="1" ht="12.75">
      <c r="A40" s="67" t="s">
        <v>156</v>
      </c>
      <c r="B40" s="68">
        <v>536.29</v>
      </c>
      <c r="C40" s="68">
        <v>14.17</v>
      </c>
      <c r="D40" s="68">
        <v>112.19</v>
      </c>
      <c r="E40" s="68">
        <v>531.10332008846206</v>
      </c>
      <c r="F40" s="68">
        <v>57.344400716968998</v>
      </c>
      <c r="G40" s="68">
        <v>-4.6927188194690004</v>
      </c>
      <c r="H40" s="68">
        <v>58.633732584728001</v>
      </c>
      <c r="I40" s="68">
        <v>1.2346652795119999</v>
      </c>
      <c r="J40" s="68">
        <v>2.0122669825549999</v>
      </c>
      <c r="K40" s="68">
        <v>1.177983721308</v>
      </c>
      <c r="L40" s="68">
        <v>1.041759200572</v>
      </c>
      <c r="M40" s="68">
        <v>188.390707969457</v>
      </c>
      <c r="N40" s="76" t="s">
        <v>60</v>
      </c>
    </row>
    <row r="41" spans="1:14" s="72" customFormat="1" ht="12.75">
      <c r="A41" s="70" t="s">
        <v>156</v>
      </c>
      <c r="B41" s="71">
        <v>564.30999999999995</v>
      </c>
      <c r="C41" s="71">
        <v>13.91</v>
      </c>
      <c r="D41" s="71">
        <v>113.38</v>
      </c>
      <c r="E41" s="71">
        <v>558.286301502377</v>
      </c>
      <c r="F41" s="71">
        <v>64.112199311544998</v>
      </c>
      <c r="G41" s="71">
        <v>-7.3245367786740001</v>
      </c>
      <c r="H41" s="71">
        <v>64.900825017101994</v>
      </c>
      <c r="I41" s="71">
        <v>0.41595512803099999</v>
      </c>
      <c r="J41" s="71">
        <v>2.1691222354359998</v>
      </c>
      <c r="K41" s="71">
        <v>1.2030375914060001</v>
      </c>
      <c r="L41" s="71">
        <v>1.0480665196479999</v>
      </c>
      <c r="M41" s="71">
        <v>189.93812099635699</v>
      </c>
      <c r="N41" s="77" t="s">
        <v>60</v>
      </c>
    </row>
    <row r="42" spans="1:14" s="69" customFormat="1" ht="12.75">
      <c r="A42" s="67" t="s">
        <v>156</v>
      </c>
      <c r="B42" s="68">
        <v>592.17999999999995</v>
      </c>
      <c r="C42" s="68">
        <v>13.35</v>
      </c>
      <c r="D42" s="68">
        <v>112.05</v>
      </c>
      <c r="E42" s="68">
        <v>585.37137921742897</v>
      </c>
      <c r="F42" s="68">
        <v>70.651407952745004</v>
      </c>
      <c r="G42" s="68">
        <v>-9.8618393394979993</v>
      </c>
      <c r="H42" s="68">
        <v>70.958006014682994</v>
      </c>
      <c r="I42" s="68">
        <v>0.69074755323699999</v>
      </c>
      <c r="J42" s="68">
        <v>2.2876736216109999</v>
      </c>
      <c r="K42" s="68">
        <v>1.156541980679</v>
      </c>
      <c r="L42" s="68">
        <v>1.0531193376920001</v>
      </c>
      <c r="M42" s="68">
        <v>190.80924555860699</v>
      </c>
      <c r="N42" s="76" t="s">
        <v>60</v>
      </c>
    </row>
    <row r="43" spans="1:14" s="72" customFormat="1" ht="12.75">
      <c r="A43" s="70" t="s">
        <v>156</v>
      </c>
      <c r="B43" s="71">
        <v>620.04999999999995</v>
      </c>
      <c r="C43" s="71">
        <v>13.22</v>
      </c>
      <c r="D43" s="71">
        <v>112.05</v>
      </c>
      <c r="E43" s="71">
        <v>612.49554617721697</v>
      </c>
      <c r="F43" s="71">
        <v>77.035090805341994</v>
      </c>
      <c r="G43" s="71">
        <v>-12.266144790704001</v>
      </c>
      <c r="H43" s="71">
        <v>76.893951500669004</v>
      </c>
      <c r="I43" s="71">
        <v>0.13993541442400001</v>
      </c>
      <c r="J43" s="71">
        <v>2.4029017102350001</v>
      </c>
      <c r="K43" s="71">
        <v>1.1068241389310001</v>
      </c>
      <c r="L43" s="71">
        <v>1.058983294276</v>
      </c>
      <c r="M43" s="71">
        <v>191.63588098520299</v>
      </c>
      <c r="N43" s="77" t="s">
        <v>60</v>
      </c>
    </row>
    <row r="44" spans="1:14" s="69" customFormat="1" ht="12.75">
      <c r="A44" s="67" t="s">
        <v>156</v>
      </c>
      <c r="B44" s="68">
        <v>647.70000000000005</v>
      </c>
      <c r="C44" s="68">
        <v>13</v>
      </c>
      <c r="D44" s="68">
        <v>112.85</v>
      </c>
      <c r="E44" s="68">
        <v>639.42489344406499</v>
      </c>
      <c r="F44" s="68">
        <v>83.282638501798004</v>
      </c>
      <c r="G44" s="68">
        <v>-14.660736842102001</v>
      </c>
      <c r="H44" s="68">
        <v>82.690252598642999</v>
      </c>
      <c r="I44" s="68">
        <v>0.309410565099</v>
      </c>
      <c r="J44" s="68">
        <v>2.5299289172949999</v>
      </c>
      <c r="K44" s="68">
        <v>1.0778220323909999</v>
      </c>
      <c r="L44" s="68">
        <v>1.0658994020870001</v>
      </c>
      <c r="M44" s="68">
        <v>192.51578783833401</v>
      </c>
      <c r="N44" s="76" t="s">
        <v>60</v>
      </c>
    </row>
    <row r="45" spans="1:14" s="72" customFormat="1" ht="12.75">
      <c r="A45" s="70" t="s">
        <v>156</v>
      </c>
      <c r="B45" s="71">
        <v>675.87</v>
      </c>
      <c r="C45" s="71">
        <v>12.87</v>
      </c>
      <c r="D45" s="71">
        <v>114.06</v>
      </c>
      <c r="E45" s="71">
        <v>666.88011469360094</v>
      </c>
      <c r="F45" s="71">
        <v>89.553368889661996</v>
      </c>
      <c r="G45" s="71">
        <v>-17.170160138084</v>
      </c>
      <c r="H45" s="71">
        <v>88.474775285907995</v>
      </c>
      <c r="I45" s="71">
        <v>0.31994461746500003</v>
      </c>
      <c r="J45" s="71">
        <v>2.67435437449</v>
      </c>
      <c r="K45" s="71">
        <v>1.080077500751</v>
      </c>
      <c r="L45" s="71">
        <v>1.075211935979</v>
      </c>
      <c r="M45" s="71">
        <v>193.43094439522699</v>
      </c>
      <c r="N45" s="77" t="s">
        <v>60</v>
      </c>
    </row>
    <row r="46" spans="1:14" s="69" customFormat="1" ht="12.75">
      <c r="A46" s="67" t="s">
        <v>156</v>
      </c>
      <c r="B46" s="68">
        <v>703.9</v>
      </c>
      <c r="C46" s="68">
        <v>12.21</v>
      </c>
      <c r="D46" s="68">
        <v>116</v>
      </c>
      <c r="E46" s="68">
        <v>694.24142153962498</v>
      </c>
      <c r="F46" s="68">
        <v>95.585463204044999</v>
      </c>
      <c r="G46" s="68">
        <v>-19.742273735811999</v>
      </c>
      <c r="H46" s="68">
        <v>93.989464380174994</v>
      </c>
      <c r="I46" s="68">
        <v>0.837891263665</v>
      </c>
      <c r="J46" s="68">
        <v>2.8157457909670001</v>
      </c>
      <c r="K46" s="68">
        <v>1.0963220789020001</v>
      </c>
      <c r="L46" s="68">
        <v>1.084860510365</v>
      </c>
      <c r="M46" s="68">
        <v>194.37913887040699</v>
      </c>
      <c r="N46" s="76" t="s">
        <v>60</v>
      </c>
    </row>
    <row r="47" spans="1:14" s="72" customFormat="1" ht="12.75">
      <c r="A47" s="70" t="s">
        <v>156</v>
      </c>
      <c r="B47" s="71">
        <v>731.75</v>
      </c>
      <c r="C47" s="71">
        <v>12.74</v>
      </c>
      <c r="D47" s="71">
        <v>114.18</v>
      </c>
      <c r="E47" s="71">
        <v>721.43390257940302</v>
      </c>
      <c r="F47" s="71">
        <v>101.54744223801499</v>
      </c>
      <c r="G47" s="71">
        <v>-22.291167812392001</v>
      </c>
      <c r="H47" s="71">
        <v>99.437954234211006</v>
      </c>
      <c r="I47" s="71">
        <v>0.71077340914499998</v>
      </c>
      <c r="J47" s="71">
        <v>2.9654459478419999</v>
      </c>
      <c r="K47" s="71">
        <v>1.0898007514200001</v>
      </c>
      <c r="L47" s="71">
        <v>1.094131921205</v>
      </c>
      <c r="M47" s="71">
        <v>194.775801667422</v>
      </c>
      <c r="N47" s="77" t="s">
        <v>60</v>
      </c>
    </row>
    <row r="48" spans="1:14" s="69" customFormat="1" ht="12.75">
      <c r="A48" s="67" t="s">
        <v>156</v>
      </c>
      <c r="B48" s="68">
        <v>759.59</v>
      </c>
      <c r="C48" s="68">
        <v>13.16</v>
      </c>
      <c r="D48" s="68">
        <v>114.62</v>
      </c>
      <c r="E48" s="68">
        <v>748.56576598351296</v>
      </c>
      <c r="F48" s="68">
        <v>107.740352069499</v>
      </c>
      <c r="G48" s="68">
        <v>-24.868834525699999</v>
      </c>
      <c r="H48" s="68">
        <v>105.119464654016</v>
      </c>
      <c r="I48" s="68">
        <v>0.464888534104</v>
      </c>
      <c r="J48" s="68">
        <v>3.1312813327629998</v>
      </c>
      <c r="K48" s="68">
        <v>1.142275319868</v>
      </c>
      <c r="L48" s="68">
        <v>1.103186184446</v>
      </c>
      <c r="M48" s="68">
        <v>195.30730738617299</v>
      </c>
      <c r="N48" s="76" t="s">
        <v>60</v>
      </c>
    </row>
    <row r="49" spans="1:14" s="72" customFormat="1" ht="12.75">
      <c r="A49" s="70" t="s">
        <v>156</v>
      </c>
      <c r="B49" s="71">
        <v>787.98</v>
      </c>
      <c r="C49" s="71">
        <v>12.93</v>
      </c>
      <c r="D49" s="71">
        <v>114.75</v>
      </c>
      <c r="E49" s="71">
        <v>776.22308979031504</v>
      </c>
      <c r="F49" s="71">
        <v>114.09730201744701</v>
      </c>
      <c r="G49" s="71">
        <v>-27.544977099655</v>
      </c>
      <c r="H49" s="71">
        <v>110.94198136284</v>
      </c>
      <c r="I49" s="71">
        <v>0.24501311857399999</v>
      </c>
      <c r="J49" s="71">
        <v>3.2917636629690001</v>
      </c>
      <c r="K49" s="71">
        <v>1.162267342669</v>
      </c>
      <c r="L49" s="71">
        <v>1.112128835289</v>
      </c>
      <c r="M49" s="71">
        <v>195.817484479738</v>
      </c>
      <c r="N49" s="77" t="s">
        <v>60</v>
      </c>
    </row>
    <row r="50" spans="1:14" s="69" customFormat="1" ht="12.75">
      <c r="A50" s="67" t="s">
        <v>156</v>
      </c>
      <c r="B50" s="68">
        <v>815.95</v>
      </c>
      <c r="C50" s="68">
        <v>11.86</v>
      </c>
      <c r="D50" s="68">
        <v>114.15</v>
      </c>
      <c r="E50" s="68">
        <v>803.54075195697601</v>
      </c>
      <c r="F50" s="68">
        <v>120.055883106468</v>
      </c>
      <c r="G50" s="68">
        <v>-30.031075356816999</v>
      </c>
      <c r="H50" s="68">
        <v>116.406639088585</v>
      </c>
      <c r="I50" s="68">
        <v>1.155926518602</v>
      </c>
      <c r="J50" s="68">
        <v>3.4271572983800001</v>
      </c>
      <c r="K50" s="68">
        <v>1.1317473079880001</v>
      </c>
      <c r="L50" s="68">
        <v>1.1201295174579999</v>
      </c>
      <c r="M50" s="68">
        <v>196.17975976519901</v>
      </c>
      <c r="N50" s="76" t="s">
        <v>60</v>
      </c>
    </row>
    <row r="51" spans="1:14" s="72" customFormat="1" ht="12.75">
      <c r="A51" s="70" t="s">
        <v>156</v>
      </c>
      <c r="B51" s="71">
        <v>843.88</v>
      </c>
      <c r="C51" s="71">
        <v>11.35</v>
      </c>
      <c r="D51" s="71">
        <v>114.64</v>
      </c>
      <c r="E51" s="71">
        <v>830.89971490090795</v>
      </c>
      <c r="F51" s="71">
        <v>125.633052400384</v>
      </c>
      <c r="G51" s="71">
        <v>-32.351151059339998</v>
      </c>
      <c r="H51" s="71">
        <v>121.52366483596499</v>
      </c>
      <c r="I51" s="71">
        <v>0.557930939939</v>
      </c>
      <c r="J51" s="71">
        <v>3.5563584359479998</v>
      </c>
      <c r="K51" s="71">
        <v>1.1186230346679999</v>
      </c>
      <c r="L51" s="71">
        <v>1.1308023650529999</v>
      </c>
      <c r="M51" s="71">
        <v>196.60472446370301</v>
      </c>
      <c r="N51" s="77" t="s">
        <v>60</v>
      </c>
    </row>
    <row r="52" spans="1:14" s="69" customFormat="1" ht="12.75">
      <c r="A52" s="67" t="s">
        <v>156</v>
      </c>
      <c r="B52" s="68">
        <v>871.83</v>
      </c>
      <c r="C52" s="68">
        <v>11.35</v>
      </c>
      <c r="D52" s="68">
        <v>114.42</v>
      </c>
      <c r="E52" s="68">
        <v>858.30310615788198</v>
      </c>
      <c r="F52" s="68">
        <v>131.091616641954</v>
      </c>
      <c r="G52" s="68">
        <v>-34.634833563828003</v>
      </c>
      <c r="H52" s="68">
        <v>126.52780358922</v>
      </c>
      <c r="I52" s="68">
        <v>4.6471958025000003E-2</v>
      </c>
      <c r="J52" s="68">
        <v>3.6855898721129998</v>
      </c>
      <c r="K52" s="68">
        <v>1.1091642250860001</v>
      </c>
      <c r="L52" s="68">
        <v>1.140425216313</v>
      </c>
      <c r="M52" s="68">
        <v>196.89003771873001</v>
      </c>
      <c r="N52" s="76" t="s">
        <v>60</v>
      </c>
    </row>
    <row r="53" spans="1:14" s="72" customFormat="1" ht="12.75">
      <c r="A53" s="70" t="s">
        <v>156</v>
      </c>
      <c r="B53" s="71">
        <v>899.31</v>
      </c>
      <c r="C53" s="71">
        <v>11.26</v>
      </c>
      <c r="D53" s="71">
        <v>114.67</v>
      </c>
      <c r="E53" s="71">
        <v>885.24992584966105</v>
      </c>
      <c r="F53" s="71">
        <v>136.43721867412501</v>
      </c>
      <c r="G53" s="71">
        <v>-36.872567846419003</v>
      </c>
      <c r="H53" s="71">
        <v>131.42797220550801</v>
      </c>
      <c r="I53" s="71">
        <v>0.1118755216</v>
      </c>
      <c r="J53" s="71">
        <v>3.8145456482650002</v>
      </c>
      <c r="K53" s="71">
        <v>1.1131617088720001</v>
      </c>
      <c r="L53" s="71">
        <v>1.149857044107</v>
      </c>
      <c r="M53" s="71">
        <v>197.19960302799501</v>
      </c>
      <c r="N53" s="77" t="s">
        <v>60</v>
      </c>
    </row>
    <row r="54" spans="1:14" s="69" customFormat="1" ht="12.75">
      <c r="A54" s="67" t="s">
        <v>156</v>
      </c>
      <c r="B54" s="68">
        <v>927.06</v>
      </c>
      <c r="C54" s="68">
        <v>11.07</v>
      </c>
      <c r="D54" s="68">
        <v>115.71</v>
      </c>
      <c r="E54" s="68">
        <v>912.47473444687296</v>
      </c>
      <c r="F54" s="68">
        <v>141.76137558436599</v>
      </c>
      <c r="G54" s="68">
        <v>-39.159126829883</v>
      </c>
      <c r="H54" s="68">
        <v>136.29032210186799</v>
      </c>
      <c r="I54" s="68">
        <v>0.29930551164000002</v>
      </c>
      <c r="J54" s="68">
        <v>3.9490871674719998</v>
      </c>
      <c r="K54" s="68">
        <v>1.139291062678</v>
      </c>
      <c r="L54" s="68">
        <v>1.161481255282</v>
      </c>
      <c r="M54" s="68">
        <v>197.62001508761199</v>
      </c>
      <c r="N54" s="76" t="s">
        <v>60</v>
      </c>
    </row>
    <row r="55" spans="1:14" s="72" customFormat="1" ht="12.75">
      <c r="A55" s="70" t="s">
        <v>156</v>
      </c>
      <c r="B55" s="71">
        <v>955.25</v>
      </c>
      <c r="C55" s="71">
        <v>10.73</v>
      </c>
      <c r="D55" s="71">
        <v>115.25</v>
      </c>
      <c r="E55" s="71">
        <v>940.15611525788495</v>
      </c>
      <c r="F55" s="71">
        <v>147.039510532256</v>
      </c>
      <c r="G55" s="71">
        <v>-41.452606137495003</v>
      </c>
      <c r="H55" s="71">
        <v>141.10225773207799</v>
      </c>
      <c r="I55" s="71">
        <v>0.37348113867400001</v>
      </c>
      <c r="J55" s="71">
        <v>4.0841268879320003</v>
      </c>
      <c r="K55" s="71">
        <v>1.146594872334</v>
      </c>
      <c r="L55" s="71">
        <v>1.172658606418</v>
      </c>
      <c r="M55" s="71">
        <v>197.87258977929201</v>
      </c>
      <c r="N55" s="77" t="s">
        <v>60</v>
      </c>
    </row>
    <row r="56" spans="1:14" s="69" customFormat="1" ht="12.75">
      <c r="A56" s="67" t="s">
        <v>156</v>
      </c>
      <c r="B56" s="68">
        <v>983.37</v>
      </c>
      <c r="C56" s="68">
        <v>10.050000000000001</v>
      </c>
      <c r="D56" s="68">
        <v>119.06</v>
      </c>
      <c r="E56" s="68">
        <v>967.81519926622104</v>
      </c>
      <c r="F56" s="68">
        <v>152.03637290151801</v>
      </c>
      <c r="G56" s="68">
        <v>-43.761056117598997</v>
      </c>
      <c r="H56" s="68">
        <v>145.614661243093</v>
      </c>
      <c r="I56" s="68">
        <v>1.030977976715</v>
      </c>
      <c r="J56" s="68">
        <v>4.2060365382500002</v>
      </c>
      <c r="K56" s="68">
        <v>1.2159233830430001</v>
      </c>
      <c r="L56" s="68">
        <v>1.185466753287</v>
      </c>
      <c r="M56" s="68">
        <v>198.51049741875599</v>
      </c>
      <c r="N56" s="76" t="s">
        <v>60</v>
      </c>
    </row>
    <row r="57" spans="1:14" s="72" customFormat="1" ht="12.75">
      <c r="A57" s="70" t="s">
        <v>156</v>
      </c>
      <c r="B57" s="71">
        <v>1011.38</v>
      </c>
      <c r="C57" s="71">
        <v>9.2799999999999994</v>
      </c>
      <c r="D57" s="71">
        <v>117.91</v>
      </c>
      <c r="E57" s="71">
        <v>995.42744948839697</v>
      </c>
      <c r="F57" s="71">
        <v>156.65120111799999</v>
      </c>
      <c r="G57" s="71">
        <v>-46.005332080225998</v>
      </c>
      <c r="H57" s="71">
        <v>149.74678101683401</v>
      </c>
      <c r="I57" s="71">
        <v>0.85019493747200003</v>
      </c>
      <c r="J57" s="71">
        <v>4.3289206357229997</v>
      </c>
      <c r="K57" s="71">
        <v>1.2209122212000001</v>
      </c>
      <c r="L57" s="71">
        <v>1.1971623079639999</v>
      </c>
      <c r="M57" s="71">
        <v>198.72996089389801</v>
      </c>
      <c r="N57" s="77" t="s">
        <v>60</v>
      </c>
    </row>
    <row r="58" spans="1:14" s="69" customFormat="1" ht="12.75">
      <c r="A58" s="67" t="s">
        <v>156</v>
      </c>
      <c r="B58" s="68">
        <v>1038.94</v>
      </c>
      <c r="C58" s="68">
        <v>8.9</v>
      </c>
      <c r="D58" s="68">
        <v>120.58</v>
      </c>
      <c r="E58" s="68">
        <v>1022.64140731741</v>
      </c>
      <c r="F58" s="68">
        <v>160.91251257606001</v>
      </c>
      <c r="G58" s="68">
        <v>-48.130093560486003</v>
      </c>
      <c r="H58" s="68">
        <v>153.545896057824</v>
      </c>
      <c r="I58" s="68">
        <v>0.61790515683500002</v>
      </c>
      <c r="J58" s="68">
        <v>4.4364071142229999</v>
      </c>
      <c r="K58" s="68">
        <v>1.2852560953229999</v>
      </c>
      <c r="L58" s="68">
        <v>1.2102729711119999</v>
      </c>
      <c r="M58" s="68">
        <v>199.21660575896701</v>
      </c>
      <c r="N58" s="76" t="s">
        <v>60</v>
      </c>
    </row>
    <row r="59" spans="1:14" s="72" customFormat="1" ht="12.75">
      <c r="A59" s="70" t="s">
        <v>156</v>
      </c>
      <c r="B59" s="71">
        <v>1067.19</v>
      </c>
      <c r="C59" s="71">
        <v>8.1999999999999993</v>
      </c>
      <c r="D59" s="71">
        <v>121.84</v>
      </c>
      <c r="E59" s="71">
        <v>1050.5773020084901</v>
      </c>
      <c r="F59" s="71">
        <v>164.99201003823401</v>
      </c>
      <c r="G59" s="71">
        <v>-50.304684056623998</v>
      </c>
      <c r="H59" s="71">
        <v>157.138778968195</v>
      </c>
      <c r="I59" s="71">
        <v>0.76947690201700003</v>
      </c>
      <c r="J59" s="71">
        <v>4.5458879793570004</v>
      </c>
      <c r="K59" s="71">
        <v>1.340284392007</v>
      </c>
      <c r="L59" s="71">
        <v>1.22305451674</v>
      </c>
      <c r="M59" s="71">
        <v>199.611655644997</v>
      </c>
      <c r="N59" s="77" t="s">
        <v>60</v>
      </c>
    </row>
    <row r="60" spans="1:14" s="69" customFormat="1" ht="12.75">
      <c r="A60" s="67" t="s">
        <v>156</v>
      </c>
      <c r="B60" s="68">
        <v>1087.46</v>
      </c>
      <c r="C60" s="68">
        <v>8.01</v>
      </c>
      <c r="D60" s="68">
        <v>119.22</v>
      </c>
      <c r="E60" s="68">
        <v>1070.64489252674</v>
      </c>
      <c r="F60" s="68">
        <v>167.774701433313</v>
      </c>
      <c r="G60" s="68">
        <v>-51.756706192990997</v>
      </c>
      <c r="H60" s="68">
        <v>159.59937712602499</v>
      </c>
      <c r="I60" s="68">
        <v>0.61470774536299999</v>
      </c>
      <c r="J60" s="68">
        <v>4.6221223737240003</v>
      </c>
      <c r="K60" s="68">
        <v>1.3120252860620001</v>
      </c>
      <c r="L60" s="68">
        <v>1.2312152665839999</v>
      </c>
      <c r="M60" s="68">
        <v>199.62213362012</v>
      </c>
      <c r="N60" s="76" t="s">
        <v>60</v>
      </c>
    </row>
    <row r="61" spans="1:14" s="72" customFormat="1" ht="25.5">
      <c r="A61" s="70" t="s">
        <v>221</v>
      </c>
      <c r="B61" s="71">
        <v>1111.9000000000001</v>
      </c>
      <c r="C61" s="71">
        <v>7.85</v>
      </c>
      <c r="D61" s="71">
        <v>120.24</v>
      </c>
      <c r="E61" s="71">
        <v>1094.8511859474099</v>
      </c>
      <c r="F61" s="71">
        <v>171.069207267709</v>
      </c>
      <c r="G61" s="71">
        <v>-53.428509553452002</v>
      </c>
      <c r="H61" s="71">
        <v>162.527404442619</v>
      </c>
      <c r="I61" s="71">
        <v>0.26154675575800002</v>
      </c>
      <c r="J61" s="71">
        <v>4.6226845849840004</v>
      </c>
      <c r="K61" s="71">
        <v>1.241854060399</v>
      </c>
      <c r="L61" s="71">
        <v>1.242629375416</v>
      </c>
      <c r="M61" s="71">
        <v>199.612175279365</v>
      </c>
      <c r="N61" s="77" t="s">
        <v>60</v>
      </c>
    </row>
    <row r="62" spans="1:14" s="69" customFormat="1" ht="12.75">
      <c r="A62" s="67" t="s">
        <v>156</v>
      </c>
      <c r="B62" s="68">
        <v>1139.92</v>
      </c>
      <c r="C62" s="68">
        <v>7.52</v>
      </c>
      <c r="D62" s="68">
        <v>120.73</v>
      </c>
      <c r="E62" s="68">
        <v>1122.6194817671901</v>
      </c>
      <c r="F62" s="68">
        <v>174.719600149684</v>
      </c>
      <c r="G62" s="68">
        <v>-55.329107862291998</v>
      </c>
      <c r="H62" s="68">
        <v>165.756586601203</v>
      </c>
      <c r="I62" s="68">
        <v>0.36021382009300001</v>
      </c>
      <c r="J62" s="68">
        <v>4.6911950283259998</v>
      </c>
      <c r="K62" s="68">
        <v>1.2519929347580001</v>
      </c>
      <c r="L62" s="68">
        <v>1.2539331647259999</v>
      </c>
      <c r="M62" s="68">
        <v>199.796635877049</v>
      </c>
      <c r="N62" s="76" t="s">
        <v>60</v>
      </c>
    </row>
    <row r="63" spans="1:14" s="72" customFormat="1" ht="12.75">
      <c r="A63" s="70" t="s">
        <v>156</v>
      </c>
      <c r="B63" s="71">
        <v>1167.9000000000001</v>
      </c>
      <c r="C63" s="71">
        <v>7.17</v>
      </c>
      <c r="D63" s="71">
        <v>121.8</v>
      </c>
      <c r="E63" s="71">
        <v>1150.3698574376201</v>
      </c>
      <c r="F63" s="71">
        <v>178.19310070912201</v>
      </c>
      <c r="G63" s="71">
        <v>-57.184834100282004</v>
      </c>
      <c r="H63" s="71">
        <v>168.81444927931</v>
      </c>
      <c r="I63" s="71">
        <v>0.40289570006999997</v>
      </c>
      <c r="J63" s="71">
        <v>4.7583086502920002</v>
      </c>
      <c r="K63" s="71">
        <v>1.276320804172</v>
      </c>
      <c r="L63" s="71">
        <v>1.2658168986489999</v>
      </c>
      <c r="M63" s="71">
        <v>200.01151338925399</v>
      </c>
      <c r="N63" s="77" t="s">
        <v>60</v>
      </c>
    </row>
    <row r="64" spans="1:14" s="69" customFormat="1" ht="12.75">
      <c r="A64" s="67" t="s">
        <v>156</v>
      </c>
      <c r="B64" s="68">
        <v>1195.69</v>
      </c>
      <c r="C64" s="68">
        <v>6.81</v>
      </c>
      <c r="D64" s="68">
        <v>122.12</v>
      </c>
      <c r="E64" s="68">
        <v>1177.95326135909</v>
      </c>
      <c r="F64" s="68">
        <v>181.46708944390701</v>
      </c>
      <c r="G64" s="68">
        <v>-58.974768673824002</v>
      </c>
      <c r="H64" s="68">
        <v>171.683855473515</v>
      </c>
      <c r="I64" s="68">
        <v>0.39089469938100002</v>
      </c>
      <c r="J64" s="68">
        <v>4.8253911825040001</v>
      </c>
      <c r="K64" s="68">
        <v>1.298141596937</v>
      </c>
      <c r="L64" s="68">
        <v>1.277762948626</v>
      </c>
      <c r="M64" s="68">
        <v>200.19270260263201</v>
      </c>
      <c r="N64" s="76" t="s">
        <v>60</v>
      </c>
    </row>
    <row r="65" spans="1:14" s="72" customFormat="1" ht="12.75">
      <c r="A65" s="70" t="s">
        <v>156</v>
      </c>
      <c r="B65" s="71">
        <v>1223.97</v>
      </c>
      <c r="C65" s="71">
        <v>6.52</v>
      </c>
      <c r="D65" s="71">
        <v>122.42</v>
      </c>
      <c r="E65" s="71">
        <v>1206.04210848702</v>
      </c>
      <c r="F65" s="71">
        <v>184.640108048831</v>
      </c>
      <c r="G65" s="71">
        <v>-60.727050247191002</v>
      </c>
      <c r="H65" s="71">
        <v>174.459255325496</v>
      </c>
      <c r="I65" s="71">
        <v>0.30984636841099999</v>
      </c>
      <c r="J65" s="71">
        <v>4.8930291471059997</v>
      </c>
      <c r="K65" s="71">
        <v>1.3263674291509999</v>
      </c>
      <c r="L65" s="71">
        <v>1.2901659174789999</v>
      </c>
      <c r="M65" s="71">
        <v>200.37249885820901</v>
      </c>
      <c r="N65" s="77" t="s">
        <v>60</v>
      </c>
    </row>
    <row r="66" spans="1:14" s="69" customFormat="1" ht="12.75">
      <c r="A66" s="67" t="s">
        <v>156</v>
      </c>
      <c r="B66" s="68">
        <v>1251.6199999999999</v>
      </c>
      <c r="C66" s="68">
        <v>6.39</v>
      </c>
      <c r="D66" s="68">
        <v>121.56</v>
      </c>
      <c r="E66" s="68">
        <v>1233.5168207987599</v>
      </c>
      <c r="F66" s="68">
        <v>187.64878999154701</v>
      </c>
      <c r="G66" s="68">
        <v>-62.373991571825997</v>
      </c>
      <c r="H66" s="68">
        <v>177.09549474678499</v>
      </c>
      <c r="I66" s="68">
        <v>0.175777267997</v>
      </c>
      <c r="J66" s="68">
        <v>4.9597814923990002</v>
      </c>
      <c r="K66" s="68">
        <v>1.340676042663</v>
      </c>
      <c r="L66" s="68">
        <v>1.302293569855</v>
      </c>
      <c r="M66" s="68">
        <v>200.48910272445301</v>
      </c>
      <c r="N66" s="76" t="s">
        <v>60</v>
      </c>
    </row>
    <row r="67" spans="1:14" s="72" customFormat="1" ht="12.75">
      <c r="A67" s="70" t="s">
        <v>156</v>
      </c>
      <c r="B67" s="71">
        <v>1279.5999999999999</v>
      </c>
      <c r="C67" s="71">
        <v>8.06</v>
      </c>
      <c r="D67" s="71">
        <v>120.24</v>
      </c>
      <c r="E67" s="71">
        <v>1261.2736939639401</v>
      </c>
      <c r="F67" s="71">
        <v>191.07183730838099</v>
      </c>
      <c r="G67" s="71">
        <v>-64.176929186821994</v>
      </c>
      <c r="H67" s="71">
        <v>180.11705804072</v>
      </c>
      <c r="I67" s="71">
        <v>1.7992727085210001</v>
      </c>
      <c r="J67" s="71">
        <v>5.0272322631439996</v>
      </c>
      <c r="K67" s="71">
        <v>1.3210980397409999</v>
      </c>
      <c r="L67" s="71">
        <v>1.3145646290070001</v>
      </c>
      <c r="M67" s="71">
        <v>200.57318849511699</v>
      </c>
      <c r="N67" s="77" t="s">
        <v>60</v>
      </c>
    </row>
    <row r="68" spans="1:14" s="69" customFormat="1" ht="12.75">
      <c r="A68" s="67" t="s">
        <v>156</v>
      </c>
      <c r="B68" s="68">
        <v>1307.4000000000001</v>
      </c>
      <c r="C68" s="68">
        <v>11.15</v>
      </c>
      <c r="D68" s="68">
        <v>117.59</v>
      </c>
      <c r="E68" s="68">
        <v>1288.68078998019</v>
      </c>
      <c r="F68" s="68">
        <v>195.61937096783601</v>
      </c>
      <c r="G68" s="68">
        <v>-66.403905040414998</v>
      </c>
      <c r="H68" s="68">
        <v>184.184075444976</v>
      </c>
      <c r="I68" s="68">
        <v>3.3676265704119999</v>
      </c>
      <c r="J68" s="68">
        <v>5.1124471692490001</v>
      </c>
      <c r="K68" s="68">
        <v>1.2668910786000001</v>
      </c>
      <c r="L68" s="68">
        <v>1.3249595053450001</v>
      </c>
      <c r="M68" s="68">
        <v>200.57398127016799</v>
      </c>
      <c r="N68" s="76" t="s">
        <v>60</v>
      </c>
    </row>
    <row r="69" spans="1:14" s="72" customFormat="1" ht="12.75">
      <c r="A69" s="70" t="s">
        <v>156</v>
      </c>
      <c r="B69" s="71">
        <v>1336.11</v>
      </c>
      <c r="C69" s="71">
        <v>13.3</v>
      </c>
      <c r="D69" s="71">
        <v>117.28</v>
      </c>
      <c r="E69" s="71">
        <v>1316.7381071864299</v>
      </c>
      <c r="F69" s="71">
        <v>201.60639362338</v>
      </c>
      <c r="G69" s="71">
        <v>-69.203491900385004</v>
      </c>
      <c r="H69" s="71">
        <v>189.580051683221</v>
      </c>
      <c r="I69" s="71">
        <v>2.2476428685549998</v>
      </c>
      <c r="J69" s="71">
        <v>5.2269589582089999</v>
      </c>
      <c r="K69" s="71">
        <v>1.247589939557</v>
      </c>
      <c r="L69" s="71">
        <v>1.3342210245020001</v>
      </c>
      <c r="M69" s="71">
        <v>200.71716623475399</v>
      </c>
      <c r="N69" s="77" t="s">
        <v>60</v>
      </c>
    </row>
    <row r="70" spans="1:14" s="69" customFormat="1" ht="12.75">
      <c r="A70" s="67" t="s">
        <v>156</v>
      </c>
      <c r="B70" s="68">
        <v>1363.5</v>
      </c>
      <c r="C70" s="68">
        <v>13.32</v>
      </c>
      <c r="D70" s="68">
        <v>117.59</v>
      </c>
      <c r="E70" s="68">
        <v>1343.39237967391</v>
      </c>
      <c r="F70" s="68">
        <v>207.81641969109299</v>
      </c>
      <c r="G70" s="68">
        <v>-72.108800501822003</v>
      </c>
      <c r="H70" s="68">
        <v>195.176562692564</v>
      </c>
      <c r="I70" s="68">
        <v>8.1180051340999995E-2</v>
      </c>
      <c r="J70" s="68">
        <v>5.3512349052520003</v>
      </c>
      <c r="K70" s="68">
        <v>1.2487595829189999</v>
      </c>
      <c r="L70" s="68">
        <v>1.3436014969150001</v>
      </c>
      <c r="M70" s="68">
        <v>200.904653639743</v>
      </c>
      <c r="N70" s="76" t="s">
        <v>60</v>
      </c>
    </row>
    <row r="71" spans="1:14" s="72" customFormat="1" ht="12.75">
      <c r="A71" s="70" t="s">
        <v>242</v>
      </c>
      <c r="B71" s="71">
        <v>1391.19</v>
      </c>
      <c r="C71" s="71">
        <v>12.9</v>
      </c>
      <c r="D71" s="71">
        <v>117.05</v>
      </c>
      <c r="E71" s="71">
        <v>1370.36062832024</v>
      </c>
      <c r="F71" s="71">
        <v>214.00383182644899</v>
      </c>
      <c r="G71" s="71">
        <v>-74.991756820752997</v>
      </c>
      <c r="H71" s="71">
        <v>200.75639266778501</v>
      </c>
      <c r="I71" s="71">
        <v>0.47398801335099999</v>
      </c>
      <c r="J71" s="71">
        <v>5.4818913111700001</v>
      </c>
      <c r="K71" s="71">
        <v>1.256237857178</v>
      </c>
      <c r="L71" s="71">
        <v>1.355894341762</v>
      </c>
      <c r="M71" s="71">
        <v>201.04127792937899</v>
      </c>
      <c r="N71" s="77" t="s">
        <v>60</v>
      </c>
    </row>
    <row r="72" spans="1:14" s="69" customFormat="1" ht="12.75">
      <c r="A72" s="67" t="s">
        <v>3</v>
      </c>
      <c r="B72" s="68">
        <v>1419.25</v>
      </c>
      <c r="C72" s="68">
        <v>13.05</v>
      </c>
      <c r="D72" s="68">
        <v>115.1</v>
      </c>
      <c r="E72" s="68">
        <v>1397.70432915059</v>
      </c>
      <c r="F72" s="68">
        <v>220.231865580781</v>
      </c>
      <c r="G72" s="68">
        <v>-77.760055699259993</v>
      </c>
      <c r="H72" s="68">
        <v>206.414825812701</v>
      </c>
      <c r="I72" s="68">
        <v>0.49477773476300002</v>
      </c>
      <c r="J72" s="68">
        <v>5.6148262380510001</v>
      </c>
      <c r="K72" s="68">
        <v>1.2486852600689999</v>
      </c>
      <c r="L72" s="68">
        <v>1.3686131394109999</v>
      </c>
      <c r="M72" s="68">
        <v>201.05784673778101</v>
      </c>
      <c r="N72" s="76" t="s">
        <v>60</v>
      </c>
    </row>
    <row r="73" spans="1:14" s="72" customFormat="1" ht="12.75">
      <c r="A73" s="70" t="s">
        <v>3</v>
      </c>
      <c r="B73" s="71">
        <v>1447.01</v>
      </c>
      <c r="C73" s="71">
        <v>12.97</v>
      </c>
      <c r="D73" s="71">
        <v>110.28</v>
      </c>
      <c r="E73" s="71">
        <v>1424.75255761277</v>
      </c>
      <c r="F73" s="71">
        <v>226.44963929176299</v>
      </c>
      <c r="G73" s="71">
        <v>-80.169388124660998</v>
      </c>
      <c r="H73" s="71">
        <v>212.17528674247899</v>
      </c>
      <c r="I73" s="71">
        <v>1.175490885863</v>
      </c>
      <c r="J73" s="71">
        <v>5.7476814820459996</v>
      </c>
      <c r="K73" s="71">
        <v>1.2395906091990001</v>
      </c>
      <c r="L73" s="71">
        <v>1.3806058563620001</v>
      </c>
      <c r="M73" s="71">
        <v>200.805741164832</v>
      </c>
      <c r="N73" s="77" t="s">
        <v>60</v>
      </c>
    </row>
    <row r="74" spans="1:14" s="69" customFormat="1" ht="12.75">
      <c r="A74" s="67" t="s">
        <v>3</v>
      </c>
      <c r="B74" s="68">
        <v>1474.91</v>
      </c>
      <c r="C74" s="68">
        <v>12.95</v>
      </c>
      <c r="D74" s="68">
        <v>105.31</v>
      </c>
      <c r="E74" s="68">
        <v>1451.94271423793</v>
      </c>
      <c r="F74" s="68">
        <v>232.70098643292201</v>
      </c>
      <c r="G74" s="68">
        <v>-82.080108731096004</v>
      </c>
      <c r="H74" s="68">
        <v>218.127596138809</v>
      </c>
      <c r="I74" s="68">
        <v>1.1983580328679999</v>
      </c>
      <c r="J74" s="68">
        <v>5.8815663145170003</v>
      </c>
      <c r="K74" s="68">
        <v>1.284727447176</v>
      </c>
      <c r="L74" s="68">
        <v>1.395074686137</v>
      </c>
      <c r="M74" s="68">
        <v>200.45410916095699</v>
      </c>
      <c r="N74" s="76" t="s">
        <v>60</v>
      </c>
    </row>
    <row r="75" spans="1:14" s="72" customFormat="1" ht="12.75">
      <c r="A75" s="70" t="s">
        <v>3</v>
      </c>
      <c r="B75" s="71">
        <v>1503.47</v>
      </c>
      <c r="C75" s="71">
        <v>13.1</v>
      </c>
      <c r="D75" s="71">
        <v>101.61</v>
      </c>
      <c r="E75" s="71">
        <v>1479.7684004335299</v>
      </c>
      <c r="F75" s="71">
        <v>239.11887417806301</v>
      </c>
      <c r="G75" s="71">
        <v>-83.576468308789003</v>
      </c>
      <c r="H75" s="71">
        <v>224.384659105369</v>
      </c>
      <c r="I75" s="71">
        <v>0.88983897046600002</v>
      </c>
      <c r="J75" s="71">
        <v>6.0203499488209999</v>
      </c>
      <c r="K75" s="71">
        <v>1.349709157191</v>
      </c>
      <c r="L75" s="71">
        <v>1.4108240265430001</v>
      </c>
      <c r="M75" s="71">
        <v>200.116150559613</v>
      </c>
      <c r="N75" s="77" t="s">
        <v>60</v>
      </c>
    </row>
    <row r="76" spans="1:14" s="69" customFormat="1" ht="12.75">
      <c r="A76" s="67" t="s">
        <v>3</v>
      </c>
      <c r="B76" s="68">
        <v>1531.37</v>
      </c>
      <c r="C76" s="68">
        <v>13.21</v>
      </c>
      <c r="D76" s="68">
        <v>102.86</v>
      </c>
      <c r="E76" s="68">
        <v>1506.93629884711</v>
      </c>
      <c r="F76" s="68">
        <v>245.44198646041801</v>
      </c>
      <c r="G76" s="68">
        <v>-84.922299022681003</v>
      </c>
      <c r="H76" s="68">
        <v>230.58967299004499</v>
      </c>
      <c r="I76" s="68">
        <v>0.32795869498000002</v>
      </c>
      <c r="J76" s="68">
        <v>6.1580260749870002</v>
      </c>
      <c r="K76" s="68">
        <v>1.3379034773389999</v>
      </c>
      <c r="L76" s="68">
        <v>1.4233141901090001</v>
      </c>
      <c r="M76" s="68">
        <v>200.00523826123001</v>
      </c>
      <c r="N76" s="76" t="s">
        <v>60</v>
      </c>
    </row>
    <row r="77" spans="1:14" s="72" customFormat="1" ht="12.75">
      <c r="A77" s="70" t="s">
        <v>3</v>
      </c>
      <c r="B77" s="71">
        <v>1559.39</v>
      </c>
      <c r="C77" s="71">
        <v>13.28</v>
      </c>
      <c r="D77" s="71">
        <v>104.61</v>
      </c>
      <c r="E77" s="71">
        <v>1534.21105560858</v>
      </c>
      <c r="F77" s="71">
        <v>251.84766441780701</v>
      </c>
      <c r="G77" s="71">
        <v>-86.446641384635996</v>
      </c>
      <c r="H77" s="71">
        <v>236.82514591170499</v>
      </c>
      <c r="I77" s="71">
        <v>0.43576094408799998</v>
      </c>
      <c r="J77" s="71">
        <v>6.2938344468330003</v>
      </c>
      <c r="K77" s="71">
        <v>1.305299288122</v>
      </c>
      <c r="L77" s="71">
        <v>1.4352155832219999</v>
      </c>
      <c r="M77" s="71">
        <v>199.956192289955</v>
      </c>
      <c r="N77" s="77" t="s">
        <v>60</v>
      </c>
    </row>
    <row r="78" spans="1:14" s="69" customFormat="1" ht="12.75">
      <c r="A78" s="67" t="s">
        <v>3</v>
      </c>
      <c r="B78" s="68">
        <v>1587.32</v>
      </c>
      <c r="C78" s="68">
        <v>13.31</v>
      </c>
      <c r="D78" s="68">
        <v>105.25</v>
      </c>
      <c r="E78" s="68">
        <v>1561.3925167694799</v>
      </c>
      <c r="F78" s="68">
        <v>258.26431468014601</v>
      </c>
      <c r="G78" s="68">
        <v>-88.101447223807</v>
      </c>
      <c r="H78" s="68">
        <v>243.03113012329101</v>
      </c>
      <c r="I78" s="68">
        <v>0.16133522586999999</v>
      </c>
      <c r="J78" s="68">
        <v>6.4322901339019998</v>
      </c>
      <c r="K78" s="68">
        <v>1.293883675205</v>
      </c>
      <c r="L78" s="68">
        <v>1.448096735662</v>
      </c>
      <c r="M78" s="68">
        <v>199.88141245136799</v>
      </c>
      <c r="N78" s="76" t="s">
        <v>60</v>
      </c>
    </row>
    <row r="79" spans="1:14" s="72" customFormat="1" ht="12.75">
      <c r="A79" s="70" t="s">
        <v>3</v>
      </c>
      <c r="B79" s="71">
        <v>1615.16</v>
      </c>
      <c r="C79" s="71">
        <v>12.95</v>
      </c>
      <c r="D79" s="71">
        <v>107.24</v>
      </c>
      <c r="E79" s="71">
        <v>1588.50479609332</v>
      </c>
      <c r="F79" s="71">
        <v>264.58614188437002</v>
      </c>
      <c r="G79" s="71">
        <v>-89.868922860661996</v>
      </c>
      <c r="H79" s="71">
        <v>249.102321971918</v>
      </c>
      <c r="I79" s="71">
        <v>0.622666556993</v>
      </c>
      <c r="J79" s="71">
        <v>6.5734480126410002</v>
      </c>
      <c r="K79" s="71">
        <v>1.285053540429</v>
      </c>
      <c r="L79" s="71">
        <v>1.461036100089</v>
      </c>
      <c r="M79" s="71">
        <v>199.914680396048</v>
      </c>
      <c r="N79" s="77" t="s">
        <v>60</v>
      </c>
    </row>
    <row r="80" spans="1:14" s="69" customFormat="1" ht="12.75">
      <c r="A80" s="67" t="s">
        <v>3</v>
      </c>
      <c r="B80" s="68">
        <v>1643.29</v>
      </c>
      <c r="C80" s="68">
        <v>12.58</v>
      </c>
      <c r="D80" s="68">
        <v>108.43</v>
      </c>
      <c r="E80" s="68">
        <v>1615.9395497862899</v>
      </c>
      <c r="F80" s="68">
        <v>270.80106842064299</v>
      </c>
      <c r="G80" s="68">
        <v>-91.771578270296999</v>
      </c>
      <c r="H80" s="68">
        <v>255.01898944214199</v>
      </c>
      <c r="I80" s="68">
        <v>0.48406492655299999</v>
      </c>
      <c r="J80" s="68">
        <v>6.7154045931989996</v>
      </c>
      <c r="K80" s="68">
        <v>1.2999591771679999</v>
      </c>
      <c r="L80" s="68">
        <v>1.4754529806359999</v>
      </c>
      <c r="M80" s="68">
        <v>199.942320778675</v>
      </c>
      <c r="N80" s="76" t="s">
        <v>60</v>
      </c>
    </row>
    <row r="81" spans="1:14" s="72" customFormat="1" ht="12.75">
      <c r="A81" s="70" t="s">
        <v>3</v>
      </c>
      <c r="B81" s="71">
        <v>1671.2</v>
      </c>
      <c r="C81" s="71">
        <v>12.65</v>
      </c>
      <c r="D81" s="71">
        <v>107.9</v>
      </c>
      <c r="E81" s="71">
        <v>1643.1757993144199</v>
      </c>
      <c r="F81" s="71">
        <v>276.896029107017</v>
      </c>
      <c r="G81" s="71">
        <v>-93.671787901605001</v>
      </c>
      <c r="H81" s="71">
        <v>260.81067772551199</v>
      </c>
      <c r="I81" s="71">
        <v>0.145400309324</v>
      </c>
      <c r="J81" s="71">
        <v>6.8534075194659998</v>
      </c>
      <c r="K81" s="71">
        <v>1.3154106754979999</v>
      </c>
      <c r="L81" s="71">
        <v>1.489977553171</v>
      </c>
      <c r="M81" s="71">
        <v>199.88136221141599</v>
      </c>
      <c r="N81" s="77" t="s">
        <v>60</v>
      </c>
    </row>
    <row r="82" spans="1:14" s="69" customFormat="1" ht="12.75">
      <c r="A82" s="67" t="s">
        <v>3</v>
      </c>
      <c r="B82" s="68">
        <v>1698.86</v>
      </c>
      <c r="C82" s="68">
        <v>12.73</v>
      </c>
      <c r="D82" s="68">
        <v>106.04</v>
      </c>
      <c r="E82" s="68">
        <v>1670.16025787277</v>
      </c>
      <c r="F82" s="68">
        <v>282.971281721259</v>
      </c>
      <c r="G82" s="68">
        <v>-95.444746071514004</v>
      </c>
      <c r="H82" s="68">
        <v>266.62168875945599</v>
      </c>
      <c r="I82" s="68">
        <v>0.45155808014299997</v>
      </c>
      <c r="J82" s="68">
        <v>6.9898916146529997</v>
      </c>
      <c r="K82" s="68">
        <v>1.3359768025559999</v>
      </c>
      <c r="L82" s="68">
        <v>1.504133010713</v>
      </c>
      <c r="M82" s="68">
        <v>199.72895423179699</v>
      </c>
      <c r="N82" s="76" t="s">
        <v>60</v>
      </c>
    </row>
    <row r="83" spans="1:14" s="72" customFormat="1" ht="12.75">
      <c r="A83" s="70" t="s">
        <v>3</v>
      </c>
      <c r="B83" s="71">
        <v>1726.79</v>
      </c>
      <c r="C83" s="71">
        <v>12.69</v>
      </c>
      <c r="D83" s="71">
        <v>104.12</v>
      </c>
      <c r="E83" s="71">
        <v>1697.4059884402</v>
      </c>
      <c r="F83" s="71">
        <v>289.11029304662998</v>
      </c>
      <c r="G83" s="71">
        <v>-97.043427456423998</v>
      </c>
      <c r="H83" s="71">
        <v>272.55428672620098</v>
      </c>
      <c r="I83" s="71">
        <v>0.45574859882500002</v>
      </c>
      <c r="J83" s="71">
        <v>7.1306822498200004</v>
      </c>
      <c r="K83" s="71">
        <v>1.3756359769240001</v>
      </c>
      <c r="L83" s="71">
        <v>1.5191011101180001</v>
      </c>
      <c r="M83" s="71">
        <v>199.54848095506901</v>
      </c>
      <c r="N83" s="77" t="s">
        <v>60</v>
      </c>
    </row>
    <row r="84" spans="1:14" s="69" customFormat="1" ht="12.75">
      <c r="A84" s="67" t="s">
        <v>3</v>
      </c>
      <c r="B84" s="68">
        <v>1754.74</v>
      </c>
      <c r="C84" s="68">
        <v>12.86</v>
      </c>
      <c r="D84" s="68">
        <v>103.51</v>
      </c>
      <c r="E84" s="68">
        <v>1724.6641147804701</v>
      </c>
      <c r="F84" s="68">
        <v>295.27820097930299</v>
      </c>
      <c r="G84" s="68">
        <v>-98.518998116337997</v>
      </c>
      <c r="H84" s="68">
        <v>278.55585366829598</v>
      </c>
      <c r="I84" s="68">
        <v>0.232925847169</v>
      </c>
      <c r="J84" s="68">
        <v>7.2739121153550004</v>
      </c>
      <c r="K84" s="68">
        <v>1.402036511942</v>
      </c>
      <c r="L84" s="68">
        <v>1.534105988761</v>
      </c>
      <c r="M84" s="68">
        <v>199.411114129807</v>
      </c>
      <c r="N84" s="76" t="s">
        <v>60</v>
      </c>
    </row>
    <row r="85" spans="1:14" s="72" customFormat="1" ht="12.75">
      <c r="A85" s="70" t="s">
        <v>3</v>
      </c>
      <c r="B85" s="71">
        <v>1782.1</v>
      </c>
      <c r="C85" s="71">
        <v>12.95</v>
      </c>
      <c r="D85" s="71">
        <v>103.08</v>
      </c>
      <c r="E85" s="71">
        <v>1751.3330514193401</v>
      </c>
      <c r="F85" s="71">
        <v>301.37260529284703</v>
      </c>
      <c r="G85" s="71">
        <v>-99.924100507432001</v>
      </c>
      <c r="H85" s="71">
        <v>284.50251463541298</v>
      </c>
      <c r="I85" s="71">
        <v>0.14431425117400001</v>
      </c>
      <c r="J85" s="71">
        <v>7.4164098541290002</v>
      </c>
      <c r="K85" s="71">
        <v>1.4255217185610001</v>
      </c>
      <c r="L85" s="71">
        <v>1.5487098447909999</v>
      </c>
      <c r="M85" s="71">
        <v>199.275781060848</v>
      </c>
      <c r="N85" s="77" t="s">
        <v>60</v>
      </c>
    </row>
    <row r="86" spans="1:14" s="69" customFormat="1" ht="12.75">
      <c r="A86" s="67" t="s">
        <v>3</v>
      </c>
      <c r="B86" s="68">
        <v>1810.59</v>
      </c>
      <c r="C86" s="68">
        <v>13.14</v>
      </c>
      <c r="D86" s="68">
        <v>102.82</v>
      </c>
      <c r="E86" s="68">
        <v>1779.0878022096799</v>
      </c>
      <c r="F86" s="68">
        <v>307.78348111272902</v>
      </c>
      <c r="G86" s="68">
        <v>-101.36510883960401</v>
      </c>
      <c r="H86" s="68">
        <v>290.76961833469699</v>
      </c>
      <c r="I86" s="68">
        <v>0.20939605193300001</v>
      </c>
      <c r="J86" s="68">
        <v>7.5677409371679998</v>
      </c>
      <c r="K86" s="68">
        <v>1.449743080105</v>
      </c>
      <c r="L86" s="68">
        <v>1.564265562451</v>
      </c>
      <c r="M86" s="68">
        <v>199.13946563944299</v>
      </c>
      <c r="N86" s="76" t="s">
        <v>60</v>
      </c>
    </row>
    <row r="87" spans="1:14" s="72" customFormat="1" ht="12.75">
      <c r="A87" s="70" t="s">
        <v>3</v>
      </c>
      <c r="B87" s="71">
        <v>1838.33</v>
      </c>
      <c r="C87" s="71">
        <v>13.43</v>
      </c>
      <c r="D87" s="71">
        <v>102.2</v>
      </c>
      <c r="E87" s="71">
        <v>1806.0854390003799</v>
      </c>
      <c r="F87" s="71">
        <v>314.13426278159301</v>
      </c>
      <c r="G87" s="71">
        <v>-102.74551005436901</v>
      </c>
      <c r="H87" s="71">
        <v>296.992773559981</v>
      </c>
      <c r="I87" s="71">
        <v>0.34942714152999999</v>
      </c>
      <c r="J87" s="71">
        <v>7.7185747103970002</v>
      </c>
      <c r="K87" s="71">
        <v>1.4810062583170001</v>
      </c>
      <c r="L87" s="71">
        <v>1.5798702056689999</v>
      </c>
      <c r="M87" s="71">
        <v>198.98537887223</v>
      </c>
      <c r="N87" s="77" t="s">
        <v>60</v>
      </c>
    </row>
    <row r="88" spans="1:14" s="69" customFormat="1" ht="12.75">
      <c r="A88" s="67" t="s">
        <v>3</v>
      </c>
      <c r="B88" s="68">
        <v>1866.03</v>
      </c>
      <c r="C88" s="68">
        <v>13.67</v>
      </c>
      <c r="D88" s="68">
        <v>101.56</v>
      </c>
      <c r="E88" s="68">
        <v>1833.01442819115</v>
      </c>
      <c r="F88" s="68">
        <v>320.59351422104999</v>
      </c>
      <c r="G88" s="68">
        <v>-104.08121653306399</v>
      </c>
      <c r="H88" s="68">
        <v>303.34366873796199</v>
      </c>
      <c r="I88" s="68">
        <v>0.306485691452</v>
      </c>
      <c r="J88" s="68">
        <v>7.8749102633690002</v>
      </c>
      <c r="K88" s="68">
        <v>1.521238662372</v>
      </c>
      <c r="L88" s="68">
        <v>1.5958512568629999</v>
      </c>
      <c r="M88" s="68">
        <v>198.821764434437</v>
      </c>
      <c r="N88" s="76" t="s">
        <v>60</v>
      </c>
    </row>
    <row r="89" spans="1:14" s="72" customFormat="1" ht="12.75">
      <c r="A89" s="70" t="s">
        <v>3</v>
      </c>
      <c r="B89" s="71">
        <v>1893.92</v>
      </c>
      <c r="C89" s="71">
        <v>14.38</v>
      </c>
      <c r="D89" s="71">
        <v>102.2</v>
      </c>
      <c r="E89" s="71">
        <v>1860.07287278533</v>
      </c>
      <c r="F89" s="71">
        <v>327.32064788659602</v>
      </c>
      <c r="G89" s="71">
        <v>-105.47353027002499</v>
      </c>
      <c r="H89" s="71">
        <v>309.95757153382903</v>
      </c>
      <c r="I89" s="71">
        <v>0.78171359818999997</v>
      </c>
      <c r="J89" s="71">
        <v>8.0388112201680002</v>
      </c>
      <c r="K89" s="71">
        <v>1.540487734412</v>
      </c>
      <c r="L89" s="71">
        <v>1.6116348372930001</v>
      </c>
      <c r="M89" s="71">
        <v>198.70788500519799</v>
      </c>
      <c r="N89" s="77" t="s">
        <v>60</v>
      </c>
    </row>
    <row r="90" spans="1:14" s="69" customFormat="1" ht="12.75">
      <c r="A90" s="67" t="s">
        <v>3</v>
      </c>
      <c r="B90" s="68">
        <v>1922.13</v>
      </c>
      <c r="C90" s="68">
        <v>15.12</v>
      </c>
      <c r="D90" s="68">
        <v>102.12</v>
      </c>
      <c r="E90" s="68">
        <v>1887.3530494014001</v>
      </c>
      <c r="F90" s="68">
        <v>334.47240762968801</v>
      </c>
      <c r="G90" s="68">
        <v>-106.98630035228101</v>
      </c>
      <c r="H90" s="68">
        <v>316.97871958235999</v>
      </c>
      <c r="I90" s="68">
        <v>0.78725283915400002</v>
      </c>
      <c r="J90" s="68">
        <v>8.2127908498819995</v>
      </c>
      <c r="K90" s="68">
        <v>1.5707821438439999</v>
      </c>
      <c r="L90" s="68">
        <v>1.6278160597689999</v>
      </c>
      <c r="M90" s="68">
        <v>198.56722110317199</v>
      </c>
      <c r="N90" s="76" t="s">
        <v>60</v>
      </c>
    </row>
    <row r="91" spans="1:14" s="72" customFormat="1" ht="12.75">
      <c r="A91" s="70" t="s">
        <v>3</v>
      </c>
      <c r="B91" s="71">
        <v>1950.02</v>
      </c>
      <c r="C91" s="71">
        <v>16.079999999999998</v>
      </c>
      <c r="D91" s="71">
        <v>102.76</v>
      </c>
      <c r="E91" s="71">
        <v>1914.2153593507801</v>
      </c>
      <c r="F91" s="71">
        <v>341.94392945432003</v>
      </c>
      <c r="G91" s="71">
        <v>-108.60315069343901</v>
      </c>
      <c r="H91" s="71">
        <v>324.30234009683602</v>
      </c>
      <c r="I91" s="71">
        <v>1.0490766842429999</v>
      </c>
      <c r="J91" s="71">
        <v>8.3979538379429997</v>
      </c>
      <c r="K91" s="71">
        <v>1.597869586326</v>
      </c>
      <c r="L91" s="71">
        <v>1.644044898265</v>
      </c>
      <c r="M91" s="71">
        <v>198.459812079263</v>
      </c>
      <c r="N91" s="77" t="s">
        <v>60</v>
      </c>
    </row>
    <row r="92" spans="1:14" s="69" customFormat="1" ht="12.75">
      <c r="A92" s="67" t="s">
        <v>3</v>
      </c>
      <c r="B92" s="68">
        <v>1978.32</v>
      </c>
      <c r="C92" s="68">
        <v>17.55</v>
      </c>
      <c r="D92" s="68">
        <v>103.47</v>
      </c>
      <c r="E92" s="68">
        <v>1941.3046447541999</v>
      </c>
      <c r="F92" s="68">
        <v>350.10707772258502</v>
      </c>
      <c r="G92" s="68">
        <v>-110.462775074734</v>
      </c>
      <c r="H92" s="68">
        <v>332.27464380701201</v>
      </c>
      <c r="I92" s="68">
        <v>1.573412884655</v>
      </c>
      <c r="J92" s="68">
        <v>8.602198443871</v>
      </c>
      <c r="K92" s="68">
        <v>1.6294901341870001</v>
      </c>
      <c r="L92" s="68">
        <v>1.6611971501459999</v>
      </c>
      <c r="M92" s="68">
        <v>198.36323196893801</v>
      </c>
      <c r="N92" s="76" t="s">
        <v>60</v>
      </c>
    </row>
    <row r="93" spans="1:14" s="72" customFormat="1" ht="12.75">
      <c r="A93" s="70" t="s">
        <v>3</v>
      </c>
      <c r="B93" s="71">
        <v>2006.2</v>
      </c>
      <c r="C93" s="71">
        <v>18.68</v>
      </c>
      <c r="D93" s="71">
        <v>102.74</v>
      </c>
      <c r="E93" s="71">
        <v>1967.80235999776</v>
      </c>
      <c r="F93" s="71">
        <v>358.75042152881298</v>
      </c>
      <c r="G93" s="71">
        <v>-112.426570116726</v>
      </c>
      <c r="H93" s="71">
        <v>340.71755714391702</v>
      </c>
      <c r="I93" s="71">
        <v>1.2401888111799999</v>
      </c>
      <c r="J93" s="71">
        <v>8.821320186466</v>
      </c>
      <c r="K93" s="71">
        <v>1.686702661637</v>
      </c>
      <c r="L93" s="71">
        <v>1.6794062029600001</v>
      </c>
      <c r="M93" s="71">
        <v>198.20671610807801</v>
      </c>
      <c r="N93" s="77" t="s">
        <v>60</v>
      </c>
    </row>
    <row r="94" spans="1:14" s="69" customFormat="1" ht="12.75">
      <c r="A94" s="67" t="s">
        <v>3</v>
      </c>
      <c r="B94" s="68">
        <v>2034.38</v>
      </c>
      <c r="C94" s="68">
        <v>20.29</v>
      </c>
      <c r="D94" s="68">
        <v>103.21</v>
      </c>
      <c r="E94" s="68">
        <v>1994.36760150239</v>
      </c>
      <c r="F94" s="68">
        <v>368.12132910588798</v>
      </c>
      <c r="G94" s="68">
        <v>-114.538457133607</v>
      </c>
      <c r="H94" s="68">
        <v>349.87657080695197</v>
      </c>
      <c r="I94" s="68">
        <v>1.7220748892740001</v>
      </c>
      <c r="J94" s="68">
        <v>9.0630836979920009</v>
      </c>
      <c r="K94" s="68">
        <v>1.735880554353</v>
      </c>
      <c r="L94" s="68">
        <v>1.6987944724640001</v>
      </c>
      <c r="M94" s="68">
        <v>198.089077584526</v>
      </c>
      <c r="N94" s="76" t="s">
        <v>60</v>
      </c>
    </row>
    <row r="95" spans="1:14" s="72" customFormat="1" ht="12.75">
      <c r="A95" s="70" t="s">
        <v>3</v>
      </c>
      <c r="B95" s="71">
        <v>2062.02</v>
      </c>
      <c r="C95" s="71">
        <v>21.66</v>
      </c>
      <c r="D95" s="71">
        <v>103.09</v>
      </c>
      <c r="E95" s="71">
        <v>2020.1754704257201</v>
      </c>
      <c r="F95" s="71">
        <v>377.98734804297402</v>
      </c>
      <c r="G95" s="71">
        <v>-116.788991185079</v>
      </c>
      <c r="H95" s="71">
        <v>359.51099678687899</v>
      </c>
      <c r="I95" s="71">
        <v>1.487705385555</v>
      </c>
      <c r="J95" s="71">
        <v>9.3197038274250001</v>
      </c>
      <c r="K95" s="71">
        <v>1.793950751913</v>
      </c>
      <c r="L95" s="71">
        <v>1.718560197905</v>
      </c>
      <c r="M95" s="71">
        <v>197.951124816571</v>
      </c>
      <c r="N95" s="77" t="s">
        <v>60</v>
      </c>
    </row>
    <row r="96" spans="1:14" s="69" customFormat="1" ht="12.75">
      <c r="A96" s="67" t="s">
        <v>3</v>
      </c>
      <c r="B96" s="68">
        <v>2089.7600000000002</v>
      </c>
      <c r="C96" s="68">
        <v>23.2</v>
      </c>
      <c r="D96" s="68">
        <v>102</v>
      </c>
      <c r="E96" s="68">
        <v>2045.81617960823</v>
      </c>
      <c r="F96" s="68">
        <v>388.53200423019399</v>
      </c>
      <c r="G96" s="68">
        <v>-119.084609623784</v>
      </c>
      <c r="H96" s="68">
        <v>369.84260211772499</v>
      </c>
      <c r="I96" s="68">
        <v>1.725062837084</v>
      </c>
      <c r="J96" s="68">
        <v>9.5973756873890004</v>
      </c>
      <c r="K96" s="68">
        <v>1.8671963785700001</v>
      </c>
      <c r="L96" s="68">
        <v>1.7418411343839999</v>
      </c>
      <c r="M96" s="68">
        <v>197.75853216434299</v>
      </c>
      <c r="N96" s="76" t="s">
        <v>60</v>
      </c>
    </row>
    <row r="97" spans="1:14" s="72" customFormat="1" ht="12.75">
      <c r="A97" s="70" t="s">
        <v>3</v>
      </c>
      <c r="B97" s="71">
        <v>2117.6</v>
      </c>
      <c r="C97" s="71">
        <v>25.1</v>
      </c>
      <c r="D97" s="71">
        <v>101.08</v>
      </c>
      <c r="E97" s="71">
        <v>2071.21848032359</v>
      </c>
      <c r="F97" s="71">
        <v>399.860529638157</v>
      </c>
      <c r="G97" s="71">
        <v>-121.359737466295</v>
      </c>
      <c r="H97" s="71">
        <v>381.00229319202498</v>
      </c>
      <c r="I97" s="71">
        <v>2.087144353007</v>
      </c>
      <c r="J97" s="71">
        <v>9.8998454988609996</v>
      </c>
      <c r="K97" s="71">
        <v>1.9427894961129999</v>
      </c>
      <c r="L97" s="71">
        <v>1.767441905653</v>
      </c>
      <c r="M97" s="71">
        <v>197.540844944783</v>
      </c>
      <c r="N97" s="77" t="s">
        <v>60</v>
      </c>
    </row>
    <row r="98" spans="1:14" s="69" customFormat="1" ht="12.75">
      <c r="A98" s="67" t="s">
        <v>3</v>
      </c>
      <c r="B98" s="68">
        <v>2145.69</v>
      </c>
      <c r="C98" s="68">
        <v>26.97</v>
      </c>
      <c r="D98" s="68">
        <v>100.94</v>
      </c>
      <c r="E98" s="68">
        <v>2096.4569604703202</v>
      </c>
      <c r="F98" s="68">
        <v>412.11158086644798</v>
      </c>
      <c r="G98" s="68">
        <v>-123.713784573589</v>
      </c>
      <c r="H98" s="68">
        <v>393.10417597061797</v>
      </c>
      <c r="I98" s="68">
        <v>1.9982286851440001</v>
      </c>
      <c r="J98" s="68">
        <v>10.231520464547</v>
      </c>
      <c r="K98" s="68">
        <v>2.0126014851280001</v>
      </c>
      <c r="L98" s="68">
        <v>1.7934072247790001</v>
      </c>
      <c r="M98" s="68">
        <v>197.32729063155099</v>
      </c>
      <c r="N98" s="76" t="s">
        <v>60</v>
      </c>
    </row>
    <row r="99" spans="1:14" s="72" customFormat="1" ht="12.75">
      <c r="A99" s="70" t="s">
        <v>3</v>
      </c>
      <c r="B99" s="71">
        <v>2173.2199999999998</v>
      </c>
      <c r="C99" s="71">
        <v>28.89</v>
      </c>
      <c r="D99" s="71">
        <v>99.89</v>
      </c>
      <c r="E99" s="71">
        <v>2120.7792910160802</v>
      </c>
      <c r="F99" s="71">
        <v>424.90805349829498</v>
      </c>
      <c r="G99" s="71">
        <v>-126.04100579948</v>
      </c>
      <c r="H99" s="71">
        <v>405.786195117067</v>
      </c>
      <c r="I99" s="71">
        <v>2.1597392159340001</v>
      </c>
      <c r="J99" s="71">
        <v>10.581347687748</v>
      </c>
      <c r="K99" s="71">
        <v>2.0921081610050001</v>
      </c>
      <c r="L99" s="71">
        <v>1.8232320818959999</v>
      </c>
      <c r="M99" s="71">
        <v>197.065547027132</v>
      </c>
      <c r="N99" s="77" t="s">
        <v>60</v>
      </c>
    </row>
    <row r="100" spans="1:14" s="69" customFormat="1" ht="12.75">
      <c r="A100" s="67" t="s">
        <v>3</v>
      </c>
      <c r="B100" s="68">
        <v>2180.65</v>
      </c>
      <c r="C100" s="68">
        <v>28.94</v>
      </c>
      <c r="D100" s="68">
        <v>100.02</v>
      </c>
      <c r="E100" s="68">
        <v>2127.28305260858</v>
      </c>
      <c r="F100" s="68">
        <v>428.46991482509299</v>
      </c>
      <c r="G100" s="68">
        <v>-126.662059250952</v>
      </c>
      <c r="H100" s="68">
        <v>409.32459429159297</v>
      </c>
      <c r="I100" s="68">
        <v>0.32429765383699999</v>
      </c>
      <c r="J100" s="68">
        <v>10.677875881434</v>
      </c>
      <c r="K100" s="68">
        <v>2.1092781781340002</v>
      </c>
      <c r="L100" s="68">
        <v>1.8263124530249999</v>
      </c>
      <c r="M100" s="68">
        <v>197.00610001851101</v>
      </c>
      <c r="N100" s="76" t="s">
        <v>60</v>
      </c>
    </row>
    <row r="101" spans="1:14" s="72" customFormat="1" ht="12.75">
      <c r="A101" s="70" t="s">
        <v>3</v>
      </c>
      <c r="B101" s="71">
        <v>2208.98</v>
      </c>
      <c r="C101" s="71">
        <v>27.98</v>
      </c>
      <c r="D101" s="71">
        <v>101.72</v>
      </c>
      <c r="E101" s="71">
        <v>2152.1894961144299</v>
      </c>
      <c r="F101" s="71">
        <v>441.87995984589202</v>
      </c>
      <c r="G101" s="71">
        <v>-129.20469754138401</v>
      </c>
      <c r="H101" s="71">
        <v>422.58207594034297</v>
      </c>
      <c r="I101" s="71">
        <v>1.33010624423</v>
      </c>
      <c r="J101" s="71">
        <v>11.01881102674</v>
      </c>
      <c r="K101" s="71">
        <v>2.1130485848660001</v>
      </c>
      <c r="L101" s="71">
        <v>1.837601409845</v>
      </c>
      <c r="M101" s="71">
        <v>196.85986202867801</v>
      </c>
      <c r="N101" s="77" t="s">
        <v>60</v>
      </c>
    </row>
    <row r="102" spans="1:14" s="69" customFormat="1" ht="12.75">
      <c r="A102" s="67" t="s">
        <v>3</v>
      </c>
      <c r="B102" s="68">
        <v>2237.13</v>
      </c>
      <c r="C102" s="68">
        <v>27.66</v>
      </c>
      <c r="D102" s="68">
        <v>104.7</v>
      </c>
      <c r="E102" s="68">
        <v>2177.0870560917101</v>
      </c>
      <c r="F102" s="68">
        <v>454.97767721845702</v>
      </c>
      <c r="G102" s="68">
        <v>-132.204252014395</v>
      </c>
      <c r="H102" s="68">
        <v>435.36862050981199</v>
      </c>
      <c r="I102" s="68">
        <v>1.520730223373</v>
      </c>
      <c r="J102" s="68">
        <v>11.343115731304</v>
      </c>
      <c r="K102" s="68">
        <v>2.09331015276</v>
      </c>
      <c r="L102" s="68">
        <v>1.848172563363</v>
      </c>
      <c r="M102" s="68">
        <v>196.84353983054001</v>
      </c>
      <c r="N102" s="76" t="s">
        <v>60</v>
      </c>
    </row>
    <row r="103" spans="1:14" s="72" customFormat="1" ht="12.75">
      <c r="A103" s="70" t="s">
        <v>3</v>
      </c>
      <c r="B103" s="71">
        <v>2265.1</v>
      </c>
      <c r="C103" s="71">
        <v>27.95</v>
      </c>
      <c r="D103" s="71">
        <v>105.63</v>
      </c>
      <c r="E103" s="71">
        <v>2201.8277392760501</v>
      </c>
      <c r="F103" s="71">
        <v>468.01400825057402</v>
      </c>
      <c r="G103" s="71">
        <v>-135.61773142649599</v>
      </c>
      <c r="H103" s="71">
        <v>447.96077070676802</v>
      </c>
      <c r="I103" s="71">
        <v>0.559680419983</v>
      </c>
      <c r="J103" s="71">
        <v>11.681650576268</v>
      </c>
      <c r="K103" s="71">
        <v>2.1169528868429999</v>
      </c>
      <c r="L103" s="71">
        <v>1.8692143870210001</v>
      </c>
      <c r="M103" s="71">
        <v>196.816891076616</v>
      </c>
      <c r="N103" s="77" t="s">
        <v>60</v>
      </c>
    </row>
    <row r="104" spans="1:14" s="69" customFormat="1" ht="12.75">
      <c r="A104" s="67" t="s">
        <v>3</v>
      </c>
      <c r="B104" s="68">
        <v>2293.4</v>
      </c>
      <c r="C104" s="68">
        <v>29.2</v>
      </c>
      <c r="D104" s="68">
        <v>107.16</v>
      </c>
      <c r="E104" s="68">
        <v>2226.6804109476898</v>
      </c>
      <c r="F104" s="68">
        <v>481.54666040439298</v>
      </c>
      <c r="G104" s="68">
        <v>-139.44151892486499</v>
      </c>
      <c r="H104" s="68">
        <v>460.94424912865202</v>
      </c>
      <c r="I104" s="68">
        <v>1.5353793301900001</v>
      </c>
      <c r="J104" s="68">
        <v>12.049806140704</v>
      </c>
      <c r="K104" s="68">
        <v>2.1688132820670001</v>
      </c>
      <c r="L104" s="68">
        <v>1.8981559797109999</v>
      </c>
      <c r="M104" s="68">
        <v>196.84807894106001</v>
      </c>
      <c r="N104" s="76" t="s">
        <v>60</v>
      </c>
    </row>
    <row r="105" spans="1:14" s="72" customFormat="1" ht="12.75">
      <c r="A105" s="70" t="s">
        <v>3</v>
      </c>
      <c r="B105" s="71">
        <v>2321.69</v>
      </c>
      <c r="C105" s="71">
        <v>30.9</v>
      </c>
      <c r="D105" s="71">
        <v>107.82</v>
      </c>
      <c r="E105" s="71">
        <v>2251.16708608826</v>
      </c>
      <c r="F105" s="71">
        <v>495.71231311334998</v>
      </c>
      <c r="G105" s="71">
        <v>-143.70085253740601</v>
      </c>
      <c r="H105" s="71">
        <v>474.45439304809099</v>
      </c>
      <c r="I105" s="71">
        <v>1.836484641745</v>
      </c>
      <c r="J105" s="71">
        <v>12.445156760519</v>
      </c>
      <c r="K105" s="71">
        <v>2.2374707148340001</v>
      </c>
      <c r="L105" s="71">
        <v>1.931047888028</v>
      </c>
      <c r="M105" s="71">
        <v>196.88531186382701</v>
      </c>
      <c r="N105" s="77" t="s">
        <v>60</v>
      </c>
    </row>
    <row r="106" spans="1:14" s="69" customFormat="1" ht="12.75">
      <c r="A106" s="67" t="s">
        <v>3</v>
      </c>
      <c r="B106" s="68">
        <v>2349.6</v>
      </c>
      <c r="C106" s="68">
        <v>32.450000000000003</v>
      </c>
      <c r="D106" s="68">
        <v>108.47</v>
      </c>
      <c r="E106" s="68">
        <v>2274.91896702022</v>
      </c>
      <c r="F106" s="68">
        <v>510.36609949379101</v>
      </c>
      <c r="G106" s="68">
        <v>-148.26645904531301</v>
      </c>
      <c r="H106" s="68">
        <v>488.37996957032101</v>
      </c>
      <c r="I106" s="68">
        <v>1.705963158104</v>
      </c>
      <c r="J106" s="68">
        <v>12.860113527609</v>
      </c>
      <c r="K106" s="68">
        <v>2.3117521103079999</v>
      </c>
      <c r="L106" s="68">
        <v>1.9657249421930001</v>
      </c>
      <c r="M106" s="68">
        <v>196.94367869889899</v>
      </c>
      <c r="N106" s="76" t="s">
        <v>60</v>
      </c>
    </row>
    <row r="107" spans="1:14" s="72" customFormat="1" ht="12.75">
      <c r="A107" s="70" t="s">
        <v>3</v>
      </c>
      <c r="B107" s="71">
        <v>2373.38</v>
      </c>
      <c r="C107" s="71">
        <v>33.86</v>
      </c>
      <c r="D107" s="71">
        <v>108.86</v>
      </c>
      <c r="E107" s="71">
        <v>2294.8269635890701</v>
      </c>
      <c r="F107" s="71">
        <v>523.36815200997103</v>
      </c>
      <c r="G107" s="71">
        <v>-152.42930570113199</v>
      </c>
      <c r="H107" s="71">
        <v>500.70074833488201</v>
      </c>
      <c r="I107" s="71">
        <v>1.7990347459539999</v>
      </c>
      <c r="J107" s="71">
        <v>13.231882273447001</v>
      </c>
      <c r="K107" s="71">
        <v>2.375900174291</v>
      </c>
      <c r="L107" s="71">
        <v>1.9974500067109999</v>
      </c>
      <c r="M107" s="71">
        <v>197.002476706572</v>
      </c>
      <c r="N107" s="77" t="s">
        <v>60</v>
      </c>
    </row>
    <row r="108" spans="1:14" s="69" customFormat="1" ht="12.75">
      <c r="A108" s="67" t="s">
        <v>3</v>
      </c>
      <c r="B108" s="68">
        <v>2393.1</v>
      </c>
      <c r="C108" s="68">
        <v>34.700000000000003</v>
      </c>
      <c r="D108" s="68">
        <v>109.11</v>
      </c>
      <c r="E108" s="68">
        <v>2311.12136231063</v>
      </c>
      <c r="F108" s="68">
        <v>534.47104377896005</v>
      </c>
      <c r="G108" s="68">
        <v>-156.04286408561899</v>
      </c>
      <c r="H108" s="68">
        <v>511.203414903902</v>
      </c>
      <c r="I108" s="68">
        <v>1.2957179937800001</v>
      </c>
      <c r="J108" s="68">
        <v>13.437434841605</v>
      </c>
      <c r="K108" s="68">
        <v>2.566457909266</v>
      </c>
      <c r="L108" s="68">
        <v>1.829483582518</v>
      </c>
      <c r="M108" s="68">
        <v>197.02161602675599</v>
      </c>
      <c r="N108" s="76" t="s">
        <v>60</v>
      </c>
    </row>
    <row r="109" spans="1:14" s="72" customFormat="1" ht="12.75">
      <c r="A109" s="70" t="s">
        <v>3</v>
      </c>
      <c r="B109" s="71">
        <v>2421.41</v>
      </c>
      <c r="C109" s="71">
        <v>36.119999999999997</v>
      </c>
      <c r="D109" s="71">
        <v>107.81</v>
      </c>
      <c r="E109" s="71">
        <v>2334.1945093198601</v>
      </c>
      <c r="F109" s="71">
        <v>550.87075066193302</v>
      </c>
      <c r="G109" s="71">
        <v>-161.23343333852901</v>
      </c>
      <c r="H109" s="71">
        <v>526.76270207061498</v>
      </c>
      <c r="I109" s="71">
        <v>1.7033009492819999</v>
      </c>
      <c r="J109" s="71">
        <v>13.757889202992001</v>
      </c>
      <c r="K109" s="71">
        <v>2.570478051247</v>
      </c>
      <c r="L109" s="71">
        <v>1.8414989511240001</v>
      </c>
      <c r="M109" s="71">
        <v>197.03168905390501</v>
      </c>
      <c r="N109" s="77" t="s">
        <v>60</v>
      </c>
    </row>
    <row r="110" spans="1:14" s="69" customFormat="1" ht="12.75">
      <c r="A110" s="67" t="s">
        <v>3</v>
      </c>
      <c r="B110" s="68">
        <v>2449.5</v>
      </c>
      <c r="C110" s="68">
        <v>37.5</v>
      </c>
      <c r="D110" s="68">
        <v>107.27</v>
      </c>
      <c r="E110" s="68">
        <v>2356.6836325423601</v>
      </c>
      <c r="F110" s="68">
        <v>567.70067757164702</v>
      </c>
      <c r="G110" s="68">
        <v>-166.30428421565401</v>
      </c>
      <c r="H110" s="68">
        <v>542.81055762729704</v>
      </c>
      <c r="I110" s="68">
        <v>1.5137876991129999</v>
      </c>
      <c r="J110" s="68">
        <v>14.098983551310999</v>
      </c>
      <c r="K110" s="68">
        <v>2.5807636256770001</v>
      </c>
      <c r="L110" s="68">
        <v>1.854987048953</v>
      </c>
      <c r="M110" s="68">
        <v>197.03833642963801</v>
      </c>
      <c r="N110" s="76" t="s">
        <v>60</v>
      </c>
    </row>
    <row r="111" spans="1:14" s="72" customFormat="1" ht="12.75">
      <c r="A111" s="70" t="s">
        <v>3</v>
      </c>
      <c r="B111" s="71">
        <v>2477.29</v>
      </c>
      <c r="C111" s="71">
        <v>39.17</v>
      </c>
      <c r="D111" s="71">
        <v>106.42</v>
      </c>
      <c r="E111" s="71">
        <v>2378.4814246235401</v>
      </c>
      <c r="F111" s="71">
        <v>584.93573303245103</v>
      </c>
      <c r="G111" s="71">
        <v>-171.29674321836501</v>
      </c>
      <c r="H111" s="71">
        <v>559.30769659483201</v>
      </c>
      <c r="I111" s="71">
        <v>1.8904770767800001</v>
      </c>
      <c r="J111" s="71">
        <v>14.461114383997</v>
      </c>
      <c r="K111" s="71">
        <v>2.5943876189720001</v>
      </c>
      <c r="L111" s="71">
        <v>1.8716207816399999</v>
      </c>
      <c r="M111" s="71">
        <v>197.022153629906</v>
      </c>
      <c r="N111" s="77" t="s">
        <v>60</v>
      </c>
    </row>
    <row r="112" spans="1:14" s="69" customFormat="1" ht="12.75">
      <c r="A112" s="67" t="s">
        <v>3</v>
      </c>
      <c r="B112" s="68">
        <v>2504.9899999999998</v>
      </c>
      <c r="C112" s="68">
        <v>40.369999999999997</v>
      </c>
      <c r="D112" s="68">
        <v>107.06</v>
      </c>
      <c r="E112" s="68">
        <v>2399.7718607065899</v>
      </c>
      <c r="F112" s="68">
        <v>602.65378677951799</v>
      </c>
      <c r="G112" s="68">
        <v>-176.40163007842699</v>
      </c>
      <c r="H112" s="68">
        <v>576.27578871876597</v>
      </c>
      <c r="I112" s="68">
        <v>1.3731831534359999</v>
      </c>
      <c r="J112" s="68">
        <v>14.845681311625</v>
      </c>
      <c r="K112" s="68">
        <v>2.6112588245050001</v>
      </c>
      <c r="L112" s="68">
        <v>1.8894698847169999</v>
      </c>
      <c r="M112" s="68">
        <v>197.03232908434501</v>
      </c>
      <c r="N112" s="76" t="s">
        <v>60</v>
      </c>
    </row>
    <row r="113" spans="1:14" s="72" customFormat="1" ht="12.75">
      <c r="A113" s="70" t="s">
        <v>3</v>
      </c>
      <c r="B113" s="71">
        <v>2533.2600000000002</v>
      </c>
      <c r="C113" s="71">
        <v>41.87</v>
      </c>
      <c r="D113" s="71">
        <v>107.85</v>
      </c>
      <c r="E113" s="71">
        <v>2421.0681471715702</v>
      </c>
      <c r="F113" s="71">
        <v>621.24437379592302</v>
      </c>
      <c r="G113" s="71">
        <v>-181.979834162364</v>
      </c>
      <c r="H113" s="71">
        <v>594.00975619680401</v>
      </c>
      <c r="I113" s="71">
        <v>1.684541418242</v>
      </c>
      <c r="J113" s="71">
        <v>15.261712145251</v>
      </c>
      <c r="K113" s="71">
        <v>2.6305276381490001</v>
      </c>
      <c r="L113" s="71">
        <v>1.9121105642859999</v>
      </c>
      <c r="M113" s="71">
        <v>197.06323482808099</v>
      </c>
      <c r="N113" s="77" t="s">
        <v>60</v>
      </c>
    </row>
    <row r="114" spans="1:14" s="69" customFormat="1" ht="12.75">
      <c r="A114" s="67" t="s">
        <v>3</v>
      </c>
      <c r="B114" s="68">
        <v>2561.64</v>
      </c>
      <c r="C114" s="68">
        <v>43.89</v>
      </c>
      <c r="D114" s="68">
        <v>108.05</v>
      </c>
      <c r="E114" s="68">
        <v>2441.8633896751398</v>
      </c>
      <c r="F114" s="68">
        <v>640.55418880547904</v>
      </c>
      <c r="G114" s="68">
        <v>-187.931711021274</v>
      </c>
      <c r="H114" s="68">
        <v>612.38021210128704</v>
      </c>
      <c r="I114" s="68">
        <v>2.140144997503</v>
      </c>
      <c r="J114" s="68">
        <v>15.708070908462</v>
      </c>
      <c r="K114" s="68">
        <v>2.6529044303060001</v>
      </c>
      <c r="L114" s="68">
        <v>1.9386103454200001</v>
      </c>
      <c r="M114" s="68">
        <v>197.09820889794199</v>
      </c>
      <c r="N114" s="76" t="s">
        <v>60</v>
      </c>
    </row>
    <row r="115" spans="1:14" s="72" customFormat="1" ht="12.75">
      <c r="A115" s="70" t="s">
        <v>3</v>
      </c>
      <c r="B115" s="71">
        <v>2589.2399999999998</v>
      </c>
      <c r="C115" s="71">
        <v>45.26</v>
      </c>
      <c r="D115" s="71">
        <v>107.83</v>
      </c>
      <c r="E115" s="71">
        <v>2461.5233060861801</v>
      </c>
      <c r="F115" s="71">
        <v>659.92382327056396</v>
      </c>
      <c r="G115" s="71">
        <v>-193.89775772559599</v>
      </c>
      <c r="H115" s="71">
        <v>630.80891849613795</v>
      </c>
      <c r="I115" s="71">
        <v>1.498556464225</v>
      </c>
      <c r="J115" s="71">
        <v>16.169868620673999</v>
      </c>
      <c r="K115" s="71">
        <v>2.6789372658690001</v>
      </c>
      <c r="L115" s="71">
        <v>1.966844362302</v>
      </c>
      <c r="M115" s="71">
        <v>197.12623476418599</v>
      </c>
      <c r="N115" s="77" t="s">
        <v>60</v>
      </c>
    </row>
    <row r="116" spans="1:14" s="69" customFormat="1" ht="12.75">
      <c r="A116" s="67" t="s">
        <v>3</v>
      </c>
      <c r="B116" s="68">
        <v>2616.6999999999998</v>
      </c>
      <c r="C116" s="68">
        <v>45.11</v>
      </c>
      <c r="D116" s="68">
        <v>107.81</v>
      </c>
      <c r="E116" s="68">
        <v>2480.8776565122898</v>
      </c>
      <c r="F116" s="68">
        <v>679.40313968975101</v>
      </c>
      <c r="G116" s="68">
        <v>-199.859100952381</v>
      </c>
      <c r="H116" s="68">
        <v>649.35407074626005</v>
      </c>
      <c r="I116" s="68">
        <v>0.16460612847700001</v>
      </c>
      <c r="J116" s="68">
        <v>16.632907879331</v>
      </c>
      <c r="K116" s="68">
        <v>2.6969832637810001</v>
      </c>
      <c r="L116" s="68">
        <v>1.9858828271989999</v>
      </c>
      <c r="M116" s="68">
        <v>197.15191339269501</v>
      </c>
      <c r="N116" s="76" t="s">
        <v>60</v>
      </c>
    </row>
    <row r="117" spans="1:14" s="72" customFormat="1" ht="12.75">
      <c r="A117" s="70" t="s">
        <v>3</v>
      </c>
      <c r="B117" s="71">
        <v>2644.39</v>
      </c>
      <c r="C117" s="71">
        <v>45.07</v>
      </c>
      <c r="D117" s="71">
        <v>107.6</v>
      </c>
      <c r="E117" s="71">
        <v>2500.4266738628999</v>
      </c>
      <c r="F117" s="71">
        <v>699.01342917814702</v>
      </c>
      <c r="G117" s="71">
        <v>-205.82298233775001</v>
      </c>
      <c r="H117" s="71">
        <v>668.03571087203397</v>
      </c>
      <c r="I117" s="71">
        <v>0.166858690512</v>
      </c>
      <c r="J117" s="71">
        <v>17.098578589066999</v>
      </c>
      <c r="K117" s="71">
        <v>2.7075933740960001</v>
      </c>
      <c r="L117" s="71">
        <v>2.0028981363499998</v>
      </c>
      <c r="M117" s="71">
        <v>197.16882675013699</v>
      </c>
      <c r="N117" s="77" t="s">
        <v>60</v>
      </c>
    </row>
    <row r="118" spans="1:14" s="69" customFormat="1" ht="12.75">
      <c r="A118" s="67" t="s">
        <v>3</v>
      </c>
      <c r="B118" s="68">
        <v>2668</v>
      </c>
      <c r="C118" s="68">
        <v>45</v>
      </c>
      <c r="D118" s="68">
        <v>107.91</v>
      </c>
      <c r="E118" s="68">
        <v>2517.1112829229701</v>
      </c>
      <c r="F118" s="68">
        <v>715.71812455635097</v>
      </c>
      <c r="G118" s="68">
        <v>-210.91708563676599</v>
      </c>
      <c r="H118" s="68">
        <v>683.94499375985004</v>
      </c>
      <c r="I118" s="68">
        <v>0.29254893633500001</v>
      </c>
      <c r="J118" s="68">
        <v>17.50292263199</v>
      </c>
      <c r="K118" s="68">
        <v>2.7207182042890001</v>
      </c>
      <c r="L118" s="68">
        <v>2.0216753104410001</v>
      </c>
      <c r="M118" s="68">
        <v>197.19204566675501</v>
      </c>
      <c r="N118" s="76" t="s">
        <v>60</v>
      </c>
    </row>
    <row r="119" spans="1:14" s="72" customFormat="1" ht="12.75">
      <c r="A119" s="70" t="s">
        <v>339</v>
      </c>
      <c r="B119" s="71">
        <v>2680</v>
      </c>
      <c r="C119" s="71">
        <v>45</v>
      </c>
      <c r="D119" s="71">
        <v>108.05</v>
      </c>
      <c r="E119" s="71">
        <v>2525.5965664081</v>
      </c>
      <c r="F119" s="71">
        <v>724.20302763945097</v>
      </c>
      <c r="G119" s="71">
        <v>-213.53636336538901</v>
      </c>
      <c r="H119" s="71">
        <v>692.01588668036004</v>
      </c>
      <c r="I119" s="71">
        <v>0.247487342631</v>
      </c>
      <c r="J119" s="71">
        <v>17.710726404862001</v>
      </c>
      <c r="K119" s="71">
        <v>2.7277981896260002</v>
      </c>
      <c r="L119" s="71">
        <v>2.0319893877989998</v>
      </c>
      <c r="M119" s="71">
        <v>197.20550016782201</v>
      </c>
      <c r="N119" s="77" t="s">
        <v>60</v>
      </c>
    </row>
    <row r="123" spans="1:14" s="57" customFormat="1" ht="12.75">
      <c r="A123" s="133" t="s">
        <v>342</v>
      </c>
      <c r="B123" s="134"/>
      <c r="C123" s="135" t="s">
        <v>343</v>
      </c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4" s="57" customFormat="1" ht="12.75">
      <c r="A124" s="133" t="s">
        <v>370</v>
      </c>
      <c r="B124" s="134"/>
      <c r="C124" s="135" t="s">
        <v>371</v>
      </c>
      <c r="D124" s="134"/>
      <c r="E124" s="134"/>
      <c r="F124" s="134"/>
      <c r="G124" s="134"/>
      <c r="H124" s="134"/>
      <c r="I124" s="134"/>
      <c r="J124" s="134"/>
      <c r="K124" s="134"/>
      <c r="L124" s="134"/>
    </row>
    <row r="125" spans="1:14" s="57" customFormat="1" ht="12.75">
      <c r="A125" s="133" t="s">
        <v>372</v>
      </c>
      <c r="B125" s="134"/>
      <c r="C125" s="135" t="s">
        <v>373</v>
      </c>
      <c r="D125" s="134"/>
      <c r="E125" s="134"/>
      <c r="F125" s="134"/>
      <c r="G125" s="134"/>
      <c r="H125" s="134"/>
      <c r="I125" s="134"/>
      <c r="J125" s="134"/>
      <c r="K125" s="134"/>
      <c r="L125" s="134"/>
    </row>
    <row r="126" spans="1:14" s="57" customFormat="1" ht="12.75">
      <c r="A126" s="133" t="s">
        <v>374</v>
      </c>
      <c r="B126" s="134"/>
      <c r="C126" s="135" t="s">
        <v>373</v>
      </c>
      <c r="D126" s="134"/>
      <c r="E126" s="134"/>
      <c r="F126" s="134"/>
      <c r="G126" s="134"/>
      <c r="H126" s="134"/>
      <c r="I126" s="134"/>
      <c r="J126" s="134"/>
      <c r="K126" s="134"/>
      <c r="L126" s="134"/>
    </row>
    <row r="127" spans="1:14" s="57" customFormat="1" ht="12.75">
      <c r="A127" s="133" t="s">
        <v>375</v>
      </c>
      <c r="B127" s="134"/>
      <c r="C127" s="135" t="s">
        <v>376</v>
      </c>
      <c r="D127" s="134"/>
      <c r="E127" s="134"/>
      <c r="F127" s="134"/>
      <c r="G127" s="134"/>
      <c r="H127" s="134"/>
      <c r="I127" s="134"/>
      <c r="J127" s="134"/>
      <c r="K127" s="134"/>
      <c r="L127" s="134"/>
    </row>
    <row r="128" spans="1:14" s="57" customFormat="1" ht="12.75">
      <c r="A128" s="133" t="s">
        <v>377</v>
      </c>
      <c r="B128" s="134"/>
      <c r="C128" s="135" t="s">
        <v>378</v>
      </c>
      <c r="D128" s="134"/>
      <c r="E128" s="134"/>
      <c r="F128" s="134"/>
      <c r="G128" s="134"/>
      <c r="H128" s="134"/>
      <c r="I128" s="134"/>
      <c r="J128" s="134"/>
      <c r="K128" s="134"/>
      <c r="L128" s="134"/>
    </row>
    <row r="129" spans="1:12" s="57" customFormat="1" ht="12.75">
      <c r="A129" s="133" t="s">
        <v>379</v>
      </c>
      <c r="B129" s="134"/>
      <c r="C129" s="135" t="s">
        <v>380</v>
      </c>
      <c r="D129" s="134"/>
      <c r="E129" s="134"/>
      <c r="F129" s="134"/>
      <c r="G129" s="134"/>
      <c r="H129" s="134"/>
      <c r="I129" s="134"/>
      <c r="J129" s="134"/>
      <c r="K129" s="134"/>
      <c r="L129" s="134"/>
    </row>
  </sheetData>
  <mergeCells count="79"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  <mergeCell ref="A9:B9"/>
    <mergeCell ref="C9:F9"/>
    <mergeCell ref="G9:H9"/>
    <mergeCell ref="I9:L9"/>
    <mergeCell ref="A10:B10"/>
    <mergeCell ref="C10:F10"/>
    <mergeCell ref="G10:H10"/>
    <mergeCell ref="I10:L10"/>
    <mergeCell ref="A11:B11"/>
    <mergeCell ref="C11:F11"/>
    <mergeCell ref="G11:H11"/>
    <mergeCell ref="I11:L11"/>
    <mergeCell ref="A12:B12"/>
    <mergeCell ref="C12:F12"/>
    <mergeCell ref="G12:H12"/>
    <mergeCell ref="I12:L12"/>
    <mergeCell ref="A13:B13"/>
    <mergeCell ref="C13:F13"/>
    <mergeCell ref="G13:H13"/>
    <mergeCell ref="I13:L13"/>
    <mergeCell ref="A14:B14"/>
    <mergeCell ref="C14:F14"/>
    <mergeCell ref="G14:H14"/>
    <mergeCell ref="I14:L14"/>
    <mergeCell ref="A15:B15"/>
    <mergeCell ref="C15:F15"/>
    <mergeCell ref="G15:H15"/>
    <mergeCell ref="I15:L15"/>
    <mergeCell ref="A16:B16"/>
    <mergeCell ref="C16:F16"/>
    <mergeCell ref="G16:H16"/>
    <mergeCell ref="I16:L16"/>
    <mergeCell ref="A17:B17"/>
    <mergeCell ref="C17:F17"/>
    <mergeCell ref="G17:H17"/>
    <mergeCell ref="I17:L17"/>
    <mergeCell ref="A18:B18"/>
    <mergeCell ref="C18:F18"/>
    <mergeCell ref="G18:H18"/>
    <mergeCell ref="I18:L18"/>
    <mergeCell ref="A19:B19"/>
    <mergeCell ref="C19:F19"/>
    <mergeCell ref="G19:H19"/>
    <mergeCell ref="I19:L19"/>
    <mergeCell ref="A20:B20"/>
    <mergeCell ref="G20:H20"/>
    <mergeCell ref="I20:L20"/>
    <mergeCell ref="G21:H21"/>
    <mergeCell ref="I21:L21"/>
    <mergeCell ref="A123:B123"/>
    <mergeCell ref="C123:L123"/>
    <mergeCell ref="A124:B124"/>
    <mergeCell ref="C124:L124"/>
    <mergeCell ref="A128:B128"/>
    <mergeCell ref="C128:L128"/>
    <mergeCell ref="A129:B129"/>
    <mergeCell ref="C129:L129"/>
    <mergeCell ref="A125:B125"/>
    <mergeCell ref="C125:L125"/>
    <mergeCell ref="A126:B126"/>
    <mergeCell ref="C126:L126"/>
    <mergeCell ref="A127:B127"/>
    <mergeCell ref="C127:L127"/>
  </mergeCells>
  <pageMargins left="0.25" right="0.25" top="0.75" bottom="0.75" header="0.3" footer="0.3"/>
  <pageSetup paperSize="9" scale="46" fitToHeight="0" orientation="portrait" r:id="rId1"/>
  <headerFooter scaleWithDoc="0">
    <oddFooter>&amp;L&amp;"Arial,Regular"&amp;7Drilling Office 2.10.254.0&amp;R&amp;"Arial,Regular"&amp;7&amp;D &amp;T  Page &amp;P of &amp;N&amp;C&amp;"Arial,Regular"&amp;7 Naaldwijk (Trias Westland)\NLW-GT-02\NLW-GT-02\NLW-GT-02-S1\NLW-GT-02-S1 Def Survey _x000D_&amp;1#&amp;"Calibri"&amp;10 Schlumberger-Private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24" sqref="E24"/>
    </sheetView>
  </sheetViews>
  <sheetFormatPr defaultRowHeight="15"/>
  <sheetData/>
  <pageMargins left="0.25" right="0.25" top="0.75" bottom="0.75" header="0.3" footer="0.3"/>
  <pageSetup paperSize="9" orientation="portrait" r:id="rId1"/>
  <headerFooter>
    <oddFooter>&amp;C&amp;1#&amp;"Calibri"&amp;10 Schlumberger-Private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274</vt:i4>
      </vt:variant>
    </vt:vector>
  </HeadingPairs>
  <TitlesOfParts>
    <vt:vector size="278" baseType="lpstr">
      <vt:lpstr>Sign-Off</vt:lpstr>
      <vt:lpstr>Survey</vt:lpstr>
      <vt:lpstr>EOU</vt:lpstr>
      <vt:lpstr>Plan vs. Actual</vt:lpstr>
      <vt:lpstr>AzimuthReference</vt:lpstr>
      <vt:lpstr>'Sign-Off'!BHAZ</vt:lpstr>
      <vt:lpstr>'Sign-Off'!BHEasting</vt:lpstr>
      <vt:lpstr>'Sign-Off'!BHEW</vt:lpstr>
      <vt:lpstr>'Sign-Off'!BHINC</vt:lpstr>
      <vt:lpstr>'Sign-Off'!BHLat</vt:lpstr>
      <vt:lpstr>'Sign-Off'!BHLong</vt:lpstr>
      <vt:lpstr>'Sign-Off'!BHMD</vt:lpstr>
      <vt:lpstr>'Sign-Off'!BHNorthing</vt:lpstr>
      <vt:lpstr>'Sign-Off'!BHNS</vt:lpstr>
      <vt:lpstr>'Sign-Off'!BHTVD</vt:lpstr>
      <vt:lpstr>'Sign-Off'!BHVS</vt:lpstr>
      <vt:lpstr>BoreholeName</vt:lpstr>
      <vt:lpstr>ClientName</vt:lpstr>
      <vt:lpstr>CSName</vt:lpstr>
      <vt:lpstr>EOU!DataRowCenterAlignDark</vt:lpstr>
      <vt:lpstr>Survey!DataRowCenterAlignDark</vt:lpstr>
      <vt:lpstr>EOU!DataRowCenterAlignDarkItalics</vt:lpstr>
      <vt:lpstr>Survey!DataRowCenterAlignDarkItalics</vt:lpstr>
      <vt:lpstr>EOU!DataRowCenterAlignLight</vt:lpstr>
      <vt:lpstr>Survey!DataRowCenterAlignLight</vt:lpstr>
      <vt:lpstr>EOU!DataRowCenterAlignLightItalics</vt:lpstr>
      <vt:lpstr>Survey!DataRowCenterAlignLightItalics</vt:lpstr>
      <vt:lpstr>EOU!DataRowCrossCenterLight</vt:lpstr>
      <vt:lpstr>Survey!DataRowCrossCenterLight</vt:lpstr>
      <vt:lpstr>EOU!DataRowLeftAlignDark</vt:lpstr>
      <vt:lpstr>Survey!DataRowLeftAlignDark</vt:lpstr>
      <vt:lpstr>EOU!DataRowLeftAlignDarkItalics</vt:lpstr>
      <vt:lpstr>Survey!DataRowLeftAlignDarkItalics</vt:lpstr>
      <vt:lpstr>EOU!DataRowLeftAlignLight</vt:lpstr>
      <vt:lpstr>Survey!DataRowLeftAlignLight</vt:lpstr>
      <vt:lpstr>EOU!DataRowLeftAlignLightItalics</vt:lpstr>
      <vt:lpstr>Survey!DataRowLeftAlignLightItalics</vt:lpstr>
      <vt:lpstr>EOU!DataRowRightAlignDark</vt:lpstr>
      <vt:lpstr>Survey!DataRowRightAlignDark</vt:lpstr>
      <vt:lpstr>EOU!DataRowRightAlignDark0</vt:lpstr>
      <vt:lpstr>Survey!DataRowRightAlignDark0</vt:lpstr>
      <vt:lpstr>EOU!DataRowRightAlignDark1</vt:lpstr>
      <vt:lpstr>Survey!DataRowRightAlignDark1</vt:lpstr>
      <vt:lpstr>EOU!DataRowRightAlignDark10</vt:lpstr>
      <vt:lpstr>Survey!DataRowRightAlignDark10</vt:lpstr>
      <vt:lpstr>EOU!DataRowRightAlignDark2</vt:lpstr>
      <vt:lpstr>Survey!DataRowRightAlignDark2</vt:lpstr>
      <vt:lpstr>EOU!DataRowRightAlignDark3</vt:lpstr>
      <vt:lpstr>Survey!DataRowRightAlignDark3</vt:lpstr>
      <vt:lpstr>EOU!DataRowRightAlignDark4</vt:lpstr>
      <vt:lpstr>Survey!DataRowRightAlignDark4</vt:lpstr>
      <vt:lpstr>EOU!DataRowRightAlignDark5</vt:lpstr>
      <vt:lpstr>Survey!DataRowRightAlignDark5</vt:lpstr>
      <vt:lpstr>EOU!DataRowRightAlignDark6</vt:lpstr>
      <vt:lpstr>Survey!DataRowRightAlignDark6</vt:lpstr>
      <vt:lpstr>EOU!DataRowRightAlignDark7</vt:lpstr>
      <vt:lpstr>Survey!DataRowRightAlignDark7</vt:lpstr>
      <vt:lpstr>EOU!DataRowRightAlignDark8</vt:lpstr>
      <vt:lpstr>Survey!DataRowRightAlignDark8</vt:lpstr>
      <vt:lpstr>EOU!DataRowRightAlignDark9</vt:lpstr>
      <vt:lpstr>Survey!DataRowRightAlignDark9</vt:lpstr>
      <vt:lpstr>EOU!DataRowRightAlignDarkItalics</vt:lpstr>
      <vt:lpstr>Survey!DataRowRightAlignDarkItalics</vt:lpstr>
      <vt:lpstr>EOU!DataRowRightAlignDarkItalics0</vt:lpstr>
      <vt:lpstr>Survey!DataRowRightAlignDarkItalics0</vt:lpstr>
      <vt:lpstr>EOU!DataRowRightAlignDarkItalics1</vt:lpstr>
      <vt:lpstr>Survey!DataRowRightAlignDarkItalics1</vt:lpstr>
      <vt:lpstr>EOU!DataRowRightAlignDarkItalics10</vt:lpstr>
      <vt:lpstr>Survey!DataRowRightAlignDarkItalics10</vt:lpstr>
      <vt:lpstr>EOU!DataRowRightAlignDarkItalics2</vt:lpstr>
      <vt:lpstr>Survey!DataRowRightAlignDarkItalics2</vt:lpstr>
      <vt:lpstr>EOU!DataRowRightAlignDarkItalics3</vt:lpstr>
      <vt:lpstr>Survey!DataRowRightAlignDarkItalics3</vt:lpstr>
      <vt:lpstr>EOU!DataRowRightAlignDarkItalics4</vt:lpstr>
      <vt:lpstr>Survey!DataRowRightAlignDarkItalics4</vt:lpstr>
      <vt:lpstr>EOU!DataRowRightAlignDarkItalics5</vt:lpstr>
      <vt:lpstr>Survey!DataRowRightAlignDarkItalics5</vt:lpstr>
      <vt:lpstr>EOU!DataRowRightAlignDarkItalics6</vt:lpstr>
      <vt:lpstr>Survey!DataRowRightAlignDarkItalics6</vt:lpstr>
      <vt:lpstr>EOU!DataRowRightAlignDarkItalics7</vt:lpstr>
      <vt:lpstr>Survey!DataRowRightAlignDarkItalics7</vt:lpstr>
      <vt:lpstr>EOU!DataRowRightAlignDarkItalics8</vt:lpstr>
      <vt:lpstr>Survey!DataRowRightAlignDarkItalics8</vt:lpstr>
      <vt:lpstr>EOU!DataRowRightAlignDarkItalics9</vt:lpstr>
      <vt:lpstr>Survey!DataRowRightAlignDarkItalics9</vt:lpstr>
      <vt:lpstr>EOU!DataRowRightAlignLight</vt:lpstr>
      <vt:lpstr>Survey!DataRowRightAlignLight</vt:lpstr>
      <vt:lpstr>EOU!DataRowRightAlignLight0</vt:lpstr>
      <vt:lpstr>Survey!DataRowRightAlignLight0</vt:lpstr>
      <vt:lpstr>EOU!DataRowRightAlignLight1</vt:lpstr>
      <vt:lpstr>Survey!DataRowRightAlignLight1</vt:lpstr>
      <vt:lpstr>EOU!DataRowRightAlignLight10</vt:lpstr>
      <vt:lpstr>Survey!DataRowRightAlignLight10</vt:lpstr>
      <vt:lpstr>EOU!DataRowRightAlignLight2</vt:lpstr>
      <vt:lpstr>Survey!DataRowRightAlignLight2</vt:lpstr>
      <vt:lpstr>EOU!DataRowRightAlignLight3</vt:lpstr>
      <vt:lpstr>Survey!DataRowRightAlignLight3</vt:lpstr>
      <vt:lpstr>EOU!DataRowRightAlignLight4</vt:lpstr>
      <vt:lpstr>Survey!DataRowRightAlignLight4</vt:lpstr>
      <vt:lpstr>EOU!DataRowRightAlignLight5</vt:lpstr>
      <vt:lpstr>Survey!DataRowRightAlignLight5</vt:lpstr>
      <vt:lpstr>EOU!DataRowRightAlignLight6</vt:lpstr>
      <vt:lpstr>Survey!DataRowRightAlignLight6</vt:lpstr>
      <vt:lpstr>EOU!DataRowRightAlignLight7</vt:lpstr>
      <vt:lpstr>Survey!DataRowRightAlignLight7</vt:lpstr>
      <vt:lpstr>EOU!DataRowRightAlignLight8</vt:lpstr>
      <vt:lpstr>Survey!DataRowRightAlignLight8</vt:lpstr>
      <vt:lpstr>EOU!DataRowRightAlignLight9</vt:lpstr>
      <vt:lpstr>Survey!DataRowRightAlignLight9</vt:lpstr>
      <vt:lpstr>EOU!DataRowRightAlignLightItalics</vt:lpstr>
      <vt:lpstr>Survey!DataRowRightAlignLightItalics</vt:lpstr>
      <vt:lpstr>EOU!DataRowRightAlignLightItalics0</vt:lpstr>
      <vt:lpstr>Survey!DataRowRightAlignLightItalics0</vt:lpstr>
      <vt:lpstr>EOU!DataRowRightAlignLightItalics1</vt:lpstr>
      <vt:lpstr>Survey!DataRowRightAlignLightItalics1</vt:lpstr>
      <vt:lpstr>EOU!DataRowRightAlignLightItalics10</vt:lpstr>
      <vt:lpstr>Survey!DataRowRightAlignLightItalics10</vt:lpstr>
      <vt:lpstr>EOU!DataRowRightAlignLightItalics2</vt:lpstr>
      <vt:lpstr>Survey!DataRowRightAlignLightItalics2</vt:lpstr>
      <vt:lpstr>EOU!DataRowRightAlignLightItalics3</vt:lpstr>
      <vt:lpstr>Survey!DataRowRightAlignLightItalics3</vt:lpstr>
      <vt:lpstr>EOU!DataRowRightAlignLightItalics4</vt:lpstr>
      <vt:lpstr>Survey!DataRowRightAlignLightItalics4</vt:lpstr>
      <vt:lpstr>EOU!DataRowRightAlignLightItalics5</vt:lpstr>
      <vt:lpstr>Survey!DataRowRightAlignLightItalics5</vt:lpstr>
      <vt:lpstr>EOU!DataRowRightAlignLightItalics6</vt:lpstr>
      <vt:lpstr>Survey!DataRowRightAlignLightItalics6</vt:lpstr>
      <vt:lpstr>EOU!DataRowRightAlignLightItalics7</vt:lpstr>
      <vt:lpstr>Survey!DataRowRightAlignLightItalics7</vt:lpstr>
      <vt:lpstr>EOU!DataRowRightAlignLightItalics8</vt:lpstr>
      <vt:lpstr>Survey!DataRowRightAlignLightItalics8</vt:lpstr>
      <vt:lpstr>EOU!DataRowRightAlignLightItalics9</vt:lpstr>
      <vt:lpstr>Survey!DataRowRightAlignLightItalics9</vt:lpstr>
      <vt:lpstr>Declination</vt:lpstr>
      <vt:lpstr>DeclinationDate</vt:lpstr>
      <vt:lpstr>DepthUnit</vt:lpstr>
      <vt:lpstr>'Sign-Off'!DF_SPSectionData</vt:lpstr>
      <vt:lpstr>Elevation</vt:lpstr>
      <vt:lpstr>EOU!EmptyRow</vt:lpstr>
      <vt:lpstr>Survey!EmptyRow</vt:lpstr>
      <vt:lpstr>FieldName</vt:lpstr>
      <vt:lpstr>EOU!FloatingStart</vt:lpstr>
      <vt:lpstr>Survey!FloatingStart</vt:lpstr>
      <vt:lpstr>EOU!GeomagInfoFirstRow</vt:lpstr>
      <vt:lpstr>GeomagInfoFirstRow</vt:lpstr>
      <vt:lpstr>GridConvergence</vt:lpstr>
      <vt:lpstr>GroundLevel</vt:lpstr>
      <vt:lpstr>'Sign-Off'!IsDrillingTargetsReqMet</vt:lpstr>
      <vt:lpstr>IsDrillingTargetsReqMetFormula</vt:lpstr>
      <vt:lpstr>JobNo</vt:lpstr>
      <vt:lpstr>LeftLogo</vt:lpstr>
      <vt:lpstr>EOU!Legal</vt:lpstr>
      <vt:lpstr>Survey!Legal</vt:lpstr>
      <vt:lpstr>MagneticModel</vt:lpstr>
      <vt:lpstr>'Sign-Off'!Print_Area</vt:lpstr>
      <vt:lpstr>EOU!Print_Titles</vt:lpstr>
      <vt:lpstr>Survey!Print_Titles</vt:lpstr>
      <vt:lpstr>'Sign-Off'!ProjectionType</vt:lpstr>
      <vt:lpstr>'Sign-Off'!RefAZ</vt:lpstr>
      <vt:lpstr>'Sign-Off'!RefEasting</vt:lpstr>
      <vt:lpstr>'Sign-Off'!RefEW</vt:lpstr>
      <vt:lpstr>'Sign-Off'!RefINC</vt:lpstr>
      <vt:lpstr>'Sign-Off'!RefLat</vt:lpstr>
      <vt:lpstr>'Sign-Off'!RefLong</vt:lpstr>
      <vt:lpstr>'Sign-Off'!RefMD</vt:lpstr>
      <vt:lpstr>'Sign-Off'!RefNorthing</vt:lpstr>
      <vt:lpstr>'Sign-Off'!RefNS</vt:lpstr>
      <vt:lpstr>'Sign-Off'!RefTVD</vt:lpstr>
      <vt:lpstr>'Sign-Off'!RefVS</vt:lpstr>
      <vt:lpstr>ReportDate</vt:lpstr>
      <vt:lpstr>RightLogo</vt:lpstr>
      <vt:lpstr>EOU!Rpt_API_Number</vt:lpstr>
      <vt:lpstr>Survey!Rpt_API_Number</vt:lpstr>
      <vt:lpstr>EOU!Rpt_BoreholeName</vt:lpstr>
      <vt:lpstr>Survey!Rpt_BoreholeName</vt:lpstr>
      <vt:lpstr>EOU!Rpt_Client</vt:lpstr>
      <vt:lpstr>Survey!Rpt_Client</vt:lpstr>
      <vt:lpstr>EOU!Rpt_CoordinateReference</vt:lpstr>
      <vt:lpstr>Survey!Rpt_CoordinateReference</vt:lpstr>
      <vt:lpstr>EOU!Rpt_CoordinateSystem</vt:lpstr>
      <vt:lpstr>Survey!Rpt_CoordinateSystem</vt:lpstr>
      <vt:lpstr>EOU!Rpt_Date</vt:lpstr>
      <vt:lpstr>Survey!Rpt_Date</vt:lpstr>
      <vt:lpstr>EOU!Rpt_DipAngle</vt:lpstr>
      <vt:lpstr>Survey!Rpt_DipAngle</vt:lpstr>
      <vt:lpstr>EOU!Rpt_DrillSiteOrWellPad</vt:lpstr>
      <vt:lpstr>Survey!Rpt_DrillSiteOrWellPad</vt:lpstr>
      <vt:lpstr>EOU!Rpt_Elevation</vt:lpstr>
      <vt:lpstr>Survey!Rpt_Elevation</vt:lpstr>
      <vt:lpstr>EOU!Rpt_ElevationReference</vt:lpstr>
      <vt:lpstr>Survey!Rpt_ElevationReference</vt:lpstr>
      <vt:lpstr>EOU!Rpt_FieldName</vt:lpstr>
      <vt:lpstr>Survey!Rpt_FieldName</vt:lpstr>
      <vt:lpstr>EOU!Rpt_FieldStrength</vt:lpstr>
      <vt:lpstr>Survey!Rpt_FieldStrength</vt:lpstr>
      <vt:lpstr>EOU!Rpt_GeodeticLocation</vt:lpstr>
      <vt:lpstr>Survey!Rpt_GeodeticLocation</vt:lpstr>
      <vt:lpstr>EOU!Rpt_Gravity</vt:lpstr>
      <vt:lpstr>Survey!Rpt_Gravity</vt:lpstr>
      <vt:lpstr>EOU!Rpt_GravityModel</vt:lpstr>
      <vt:lpstr>Rpt_GravityModel</vt:lpstr>
      <vt:lpstr>EOU!Rpt_GridConvergence</vt:lpstr>
      <vt:lpstr>Survey!Rpt_GridConvergence</vt:lpstr>
      <vt:lpstr>EOU!Rpt_GridCorrection</vt:lpstr>
      <vt:lpstr>Survey!Rpt_GridCorrection</vt:lpstr>
      <vt:lpstr>EOU!Rpt_GridLocation</vt:lpstr>
      <vt:lpstr>Survey!Rpt_GridLocation</vt:lpstr>
      <vt:lpstr>EOU!Rpt_GroundLevelElevation</vt:lpstr>
      <vt:lpstr>Survey!Rpt_GroundLevelElevation</vt:lpstr>
      <vt:lpstr>EOU!Rpt_MagneticDeclDate</vt:lpstr>
      <vt:lpstr>Survey!Rpt_MagneticDeclDate</vt:lpstr>
      <vt:lpstr>EOU!Rpt_MagneticDeclination</vt:lpstr>
      <vt:lpstr>Survey!Rpt_MagneticDeclination</vt:lpstr>
      <vt:lpstr>EOU!Rpt_MagneticDeclModel</vt:lpstr>
      <vt:lpstr>Survey!Rpt_MagneticDeclModel</vt:lpstr>
      <vt:lpstr>EOU!Rpt_NorthReference</vt:lpstr>
      <vt:lpstr>Survey!Rpt_NorthReference</vt:lpstr>
      <vt:lpstr>EOU!Rpt_ScaleFactor</vt:lpstr>
      <vt:lpstr>Survey!Rpt_ScaleFactor</vt:lpstr>
      <vt:lpstr>EOU!Rpt_SurveyCompMethod</vt:lpstr>
      <vt:lpstr>Survey!Rpt_SurveyCompMethod</vt:lpstr>
      <vt:lpstr>EOU!Rpt_SurveyDate</vt:lpstr>
      <vt:lpstr>Survey!Rpt_SurveyDate</vt:lpstr>
      <vt:lpstr>EOU!Rpt_SurveyName</vt:lpstr>
      <vt:lpstr>Survey!Rpt_SurveyName</vt:lpstr>
      <vt:lpstr>EOU!Rpt_SurveyStats</vt:lpstr>
      <vt:lpstr>Survey!Rpt_SurveyStats</vt:lpstr>
      <vt:lpstr>EOU!Rpt_Title</vt:lpstr>
      <vt:lpstr>Survey!Rpt_Title</vt:lpstr>
      <vt:lpstr>EOU!Rpt_Title2</vt:lpstr>
      <vt:lpstr>Survey!Rpt_Title2</vt:lpstr>
      <vt:lpstr>EOU!Rpt_TotalCorrection</vt:lpstr>
      <vt:lpstr>Survey!Rpt_TotalCorrection</vt:lpstr>
      <vt:lpstr>EOU!Rpt_TotalCorrectionLabel</vt:lpstr>
      <vt:lpstr>Survey!Rpt_TotalCorrectionLabel</vt:lpstr>
      <vt:lpstr>EOU!Rpt_Version</vt:lpstr>
      <vt:lpstr>Survey!Rpt_Version</vt:lpstr>
      <vt:lpstr>EOU!Rpt_VSEC_Azim</vt:lpstr>
      <vt:lpstr>Survey!Rpt_VSEC_Azim</vt:lpstr>
      <vt:lpstr>EOU!Rpt_VSEC_Origin</vt:lpstr>
      <vt:lpstr>Survey!Rpt_VSEC_Origin</vt:lpstr>
      <vt:lpstr>EOU!Rpt_WellName</vt:lpstr>
      <vt:lpstr>Survey!Rpt_WellName</vt:lpstr>
      <vt:lpstr>SlotEasting</vt:lpstr>
      <vt:lpstr>SlotLat</vt:lpstr>
      <vt:lpstr>SlotLong</vt:lpstr>
      <vt:lpstr>SlotNorthing</vt:lpstr>
      <vt:lpstr>SlotUnc</vt:lpstr>
      <vt:lpstr>StructureEasting</vt:lpstr>
      <vt:lpstr>StructureLat</vt:lpstr>
      <vt:lpstr>StructureLong</vt:lpstr>
      <vt:lpstr>StructureNorthing</vt:lpstr>
      <vt:lpstr>StructureSlot</vt:lpstr>
      <vt:lpstr>StructureUnc</vt:lpstr>
      <vt:lpstr>SurveyDate</vt:lpstr>
      <vt:lpstr>SurveyName</vt:lpstr>
      <vt:lpstr>EOU!SurveyProgramFormatA</vt:lpstr>
      <vt:lpstr>Survey!SurveyProgramFormatA</vt:lpstr>
      <vt:lpstr>EOU!SurveyProgramFormatB</vt:lpstr>
      <vt:lpstr>Survey!SurveyProgramFormatB</vt:lpstr>
      <vt:lpstr>EOU!SurveyProgramHeader</vt:lpstr>
      <vt:lpstr>Survey!SurveyProgramHeader</vt:lpstr>
      <vt:lpstr>SurveyTypeFormula</vt:lpstr>
      <vt:lpstr>EOU!TableHeaderCenter</vt:lpstr>
      <vt:lpstr>Survey!TableHeaderCenter</vt:lpstr>
      <vt:lpstr>EOU!TableHeaderCrossCenter</vt:lpstr>
      <vt:lpstr>Survey!TableHeaderCrossCenter</vt:lpstr>
      <vt:lpstr>EOU!TableHeaderCrossRight</vt:lpstr>
      <vt:lpstr>Survey!TableHeaderCrossRight</vt:lpstr>
      <vt:lpstr>EOU!TableHeaderLeft</vt:lpstr>
      <vt:lpstr>Survey!TableHeaderLeft</vt:lpstr>
      <vt:lpstr>EOU!TableHeaderRight</vt:lpstr>
      <vt:lpstr>Survey!TableHeaderRight</vt:lpstr>
      <vt:lpstr>TotalCorrection</vt:lpstr>
      <vt:lpstr>VerticalReference</vt:lpstr>
      <vt:lpstr>VSAzimuth</vt:lpstr>
      <vt:lpstr>VSOrigin</vt:lpstr>
      <vt:lpstr>WellName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2018-05-28T14:02:19Z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Ref">
    <vt:lpwstr>https://api.informationprotection.azure.com/api/41ff26dc-250f-4b13-8981-739be8610c21</vt:lpwstr>
  </property>
  <property fmtid="{D5CDD505-2E9C-101B-9397-08002B2CF9AE}" pid="5" name="MSIP_Label_585f1f62-8d2b-4457-869c-0a13c6549635_Owner">
    <vt:lpwstr>TMatviykiv@slb.com</vt:lpwstr>
  </property>
  <property fmtid="{D5CDD505-2E9C-101B-9397-08002B2CF9AE}" pid="6" name="MSIP_Label_585f1f62-8d2b-4457-869c-0a13c6549635_SetDate">
    <vt:lpwstr>2018-05-18T10:50:55.4354014+02:00</vt:lpwstr>
  </property>
  <property fmtid="{D5CDD505-2E9C-101B-9397-08002B2CF9AE}" pid="7" name="MSIP_Label_585f1f62-8d2b-4457-869c-0a13c6549635_Name">
    <vt:lpwstr>Private</vt:lpwstr>
  </property>
  <property fmtid="{D5CDD505-2E9C-101B-9397-08002B2CF9AE}" pid="8" name="MSIP_Label_585f1f62-8d2b-4457-869c-0a13c6549635_Application">
    <vt:lpwstr>Microsoft Azure Information Protection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Ref">
    <vt:lpwstr>https://api.informationprotection.azure.com/api/41ff26dc-250f-4b13-8981-739be8610c21</vt:lpwstr>
  </property>
  <property fmtid="{D5CDD505-2E9C-101B-9397-08002B2CF9AE}" pid="13" name="MSIP_Label_8bb759f6-5337-4dc5-b19b-e74b6da11f8f_Owner">
    <vt:lpwstr>TMatviykiv@slb.com</vt:lpwstr>
  </property>
  <property fmtid="{D5CDD505-2E9C-101B-9397-08002B2CF9AE}" pid="14" name="MSIP_Label_8bb759f6-5337-4dc5-b19b-e74b6da11f8f_SetDate">
    <vt:lpwstr>2018-05-18T10:50:55.4354014+02:00</vt:lpwstr>
  </property>
  <property fmtid="{D5CDD505-2E9C-101B-9397-08002B2CF9AE}" pid="15" name="MSIP_Label_8bb759f6-5337-4dc5-b19b-e74b6da11f8f_Name">
    <vt:lpwstr>Internal</vt:lpwstr>
  </property>
  <property fmtid="{D5CDD505-2E9C-101B-9397-08002B2CF9AE}" pid="16" name="MSIP_Label_8bb759f6-5337-4dc5-b19b-e74b6da11f8f_Application">
    <vt:lpwstr>Microsoft Azure Information Protection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